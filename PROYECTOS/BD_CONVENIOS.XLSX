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15\Downloads\"/>
    </mc:Choice>
  </mc:AlternateContent>
  <xr:revisionPtr revIDLastSave="0" documentId="8_{9BB29F32-FD1B-4D15-BC67-FD7F1E345A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D_CONVENIOS" sheetId="1" r:id="rId1"/>
    <sheet name="BUSCADOR" sheetId="2" r:id="rId2"/>
    <sheet name="LIST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77" i="1" l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P276" i="1"/>
  <c r="M276" i="1"/>
  <c r="N276" i="1" s="1"/>
  <c r="P270" i="1"/>
  <c r="M270" i="1"/>
  <c r="N270" i="1" s="1"/>
  <c r="P272" i="1"/>
  <c r="M272" i="1"/>
  <c r="O272" i="1" s="1"/>
  <c r="P269" i="1"/>
  <c r="M269" i="1"/>
  <c r="N269" i="1" s="1"/>
  <c r="P262" i="1"/>
  <c r="M262" i="1"/>
  <c r="O262" i="1" s="1"/>
  <c r="P257" i="1"/>
  <c r="M257" i="1"/>
  <c r="N257" i="1" s="1"/>
  <c r="P249" i="1"/>
  <c r="M249" i="1"/>
  <c r="O249" i="1" s="1"/>
  <c r="P242" i="1"/>
  <c r="M242" i="1"/>
  <c r="O242" i="1" s="1"/>
  <c r="P228" i="1"/>
  <c r="M228" i="1"/>
  <c r="N228" i="1" s="1"/>
  <c r="P223" i="1"/>
  <c r="M223" i="1"/>
  <c r="O223" i="1" s="1"/>
  <c r="P218" i="1"/>
  <c r="M218" i="1"/>
  <c r="O218" i="1" s="1"/>
  <c r="P215" i="1"/>
  <c r="M215" i="1"/>
  <c r="N215" i="1" s="1"/>
  <c r="P213" i="1"/>
  <c r="M213" i="1"/>
  <c r="O213" i="1" s="1"/>
  <c r="P211" i="1"/>
  <c r="M211" i="1"/>
  <c r="O211" i="1" s="1"/>
  <c r="P208" i="1"/>
  <c r="M208" i="1"/>
  <c r="O208" i="1" s="1"/>
  <c r="P202" i="1"/>
  <c r="M202" i="1"/>
  <c r="O202" i="1" s="1"/>
  <c r="P200" i="1"/>
  <c r="M200" i="1"/>
  <c r="O200" i="1" s="1"/>
  <c r="P196" i="1"/>
  <c r="M196" i="1"/>
  <c r="N196" i="1" s="1"/>
  <c r="P190" i="1"/>
  <c r="M190" i="1"/>
  <c r="N190" i="1" s="1"/>
  <c r="P192" i="1"/>
  <c r="M192" i="1"/>
  <c r="O192" i="1" s="1"/>
  <c r="P186" i="1"/>
  <c r="M186" i="1"/>
  <c r="O186" i="1" s="1"/>
  <c r="P188" i="1"/>
  <c r="M188" i="1"/>
  <c r="N188" i="1" s="1"/>
  <c r="P275" i="1"/>
  <c r="M275" i="1"/>
  <c r="O275" i="1" s="1"/>
  <c r="P271" i="1"/>
  <c r="M271" i="1"/>
  <c r="O271" i="1" s="1"/>
  <c r="M177" i="1"/>
  <c r="O177" i="1" s="1"/>
  <c r="P177" i="1"/>
  <c r="M180" i="1"/>
  <c r="O180" i="1" s="1"/>
  <c r="P180" i="1"/>
  <c r="M181" i="1"/>
  <c r="O181" i="1" s="1"/>
  <c r="P181" i="1"/>
  <c r="M182" i="1"/>
  <c r="O182" i="1" s="1"/>
  <c r="P182" i="1"/>
  <c r="M183" i="1"/>
  <c r="O183" i="1" s="1"/>
  <c r="P183" i="1"/>
  <c r="M184" i="1"/>
  <c r="O184" i="1" s="1"/>
  <c r="P184" i="1"/>
  <c r="M185" i="1"/>
  <c r="O185" i="1" s="1"/>
  <c r="P185" i="1"/>
  <c r="M187" i="1"/>
  <c r="O187" i="1" s="1"/>
  <c r="P187" i="1"/>
  <c r="M189" i="1"/>
  <c r="O189" i="1" s="1"/>
  <c r="P189" i="1"/>
  <c r="M191" i="1"/>
  <c r="O191" i="1" s="1"/>
  <c r="P191" i="1"/>
  <c r="M198" i="1"/>
  <c r="O198" i="1" s="1"/>
  <c r="P198" i="1"/>
  <c r="M203" i="1"/>
  <c r="O203" i="1" s="1"/>
  <c r="P203" i="1"/>
  <c r="M195" i="1"/>
  <c r="O195" i="1" s="1"/>
  <c r="P195" i="1"/>
  <c r="M6" i="1"/>
  <c r="O6" i="1" s="1"/>
  <c r="P6" i="1"/>
  <c r="M204" i="1"/>
  <c r="O204" i="1" s="1"/>
  <c r="P204" i="1"/>
  <c r="M199" i="1"/>
  <c r="O199" i="1" s="1"/>
  <c r="P199" i="1"/>
  <c r="M201" i="1"/>
  <c r="O201" i="1" s="1"/>
  <c r="P201" i="1"/>
  <c r="M224" i="1"/>
  <c r="O224" i="1" s="1"/>
  <c r="P224" i="1"/>
  <c r="M225" i="1"/>
  <c r="O225" i="1" s="1"/>
  <c r="P225" i="1"/>
  <c r="M205" i="1"/>
  <c r="O205" i="1" s="1"/>
  <c r="P205" i="1"/>
  <c r="M206" i="1"/>
  <c r="O206" i="1" s="1"/>
  <c r="P206" i="1"/>
  <c r="M207" i="1"/>
  <c r="O207" i="1" s="1"/>
  <c r="P207" i="1"/>
  <c r="M209" i="1"/>
  <c r="O209" i="1" s="1"/>
  <c r="P209" i="1"/>
  <c r="M210" i="1"/>
  <c r="O210" i="1" s="1"/>
  <c r="P210" i="1"/>
  <c r="M212" i="1"/>
  <c r="O212" i="1" s="1"/>
  <c r="P212" i="1"/>
  <c r="M214" i="1"/>
  <c r="O214" i="1" s="1"/>
  <c r="P214" i="1"/>
  <c r="M216" i="1"/>
  <c r="O216" i="1" s="1"/>
  <c r="P216" i="1"/>
  <c r="M217" i="1"/>
  <c r="O217" i="1" s="1"/>
  <c r="P217" i="1"/>
  <c r="M219" i="1"/>
  <c r="O219" i="1" s="1"/>
  <c r="P219" i="1"/>
  <c r="M220" i="1"/>
  <c r="O220" i="1" s="1"/>
  <c r="P220" i="1"/>
  <c r="M221" i="1"/>
  <c r="O221" i="1" s="1"/>
  <c r="P221" i="1"/>
  <c r="M222" i="1"/>
  <c r="O222" i="1" s="1"/>
  <c r="P222" i="1"/>
  <c r="M7" i="1"/>
  <c r="O7" i="1" s="1"/>
  <c r="P7" i="1"/>
  <c r="M253" i="1"/>
  <c r="O253" i="1" s="1"/>
  <c r="P253" i="1"/>
  <c r="M226" i="1"/>
  <c r="O226" i="1" s="1"/>
  <c r="P226" i="1"/>
  <c r="M227" i="1"/>
  <c r="O227" i="1" s="1"/>
  <c r="P227" i="1"/>
  <c r="M229" i="1"/>
  <c r="O229" i="1" s="1"/>
  <c r="P229" i="1"/>
  <c r="M230" i="1"/>
  <c r="O230" i="1" s="1"/>
  <c r="P230" i="1"/>
  <c r="M231" i="1"/>
  <c r="O231" i="1" s="1"/>
  <c r="P231" i="1"/>
  <c r="M232" i="1"/>
  <c r="O232" i="1" s="1"/>
  <c r="P232" i="1"/>
  <c r="M233" i="1"/>
  <c r="O233" i="1" s="1"/>
  <c r="P233" i="1"/>
  <c r="M234" i="1"/>
  <c r="O234" i="1" s="1"/>
  <c r="P234" i="1"/>
  <c r="M235" i="1"/>
  <c r="O235" i="1" s="1"/>
  <c r="P235" i="1"/>
  <c r="M236" i="1"/>
  <c r="O236" i="1" s="1"/>
  <c r="P236" i="1"/>
  <c r="M237" i="1"/>
  <c r="O237" i="1" s="1"/>
  <c r="P237" i="1"/>
  <c r="M238" i="1"/>
  <c r="O238" i="1" s="1"/>
  <c r="P238" i="1"/>
  <c r="M239" i="1"/>
  <c r="O239" i="1" s="1"/>
  <c r="P239" i="1"/>
  <c r="M240" i="1"/>
  <c r="O240" i="1" s="1"/>
  <c r="P240" i="1"/>
  <c r="M241" i="1"/>
  <c r="O241" i="1" s="1"/>
  <c r="P241" i="1"/>
  <c r="M243" i="1"/>
  <c r="O243" i="1" s="1"/>
  <c r="P243" i="1"/>
  <c r="M244" i="1"/>
  <c r="O244" i="1" s="1"/>
  <c r="P244" i="1"/>
  <c r="M245" i="1"/>
  <c r="O245" i="1" s="1"/>
  <c r="P245" i="1"/>
  <c r="M246" i="1"/>
  <c r="O246" i="1" s="1"/>
  <c r="P246" i="1"/>
  <c r="M247" i="1"/>
  <c r="O247" i="1" s="1"/>
  <c r="P247" i="1"/>
  <c r="M248" i="1"/>
  <c r="O248" i="1" s="1"/>
  <c r="P248" i="1"/>
  <c r="M250" i="1"/>
  <c r="O250" i="1" s="1"/>
  <c r="P250" i="1"/>
  <c r="M251" i="1"/>
  <c r="O251" i="1" s="1"/>
  <c r="P251" i="1"/>
  <c r="M254" i="1"/>
  <c r="O254" i="1" s="1"/>
  <c r="P254" i="1"/>
  <c r="M260" i="1"/>
  <c r="O260" i="1" s="1"/>
  <c r="P260" i="1"/>
  <c r="M255" i="1"/>
  <c r="O255" i="1" s="1"/>
  <c r="P255" i="1"/>
  <c r="M256" i="1"/>
  <c r="O256" i="1" s="1"/>
  <c r="P256" i="1"/>
  <c r="M258" i="1"/>
  <c r="O258" i="1" s="1"/>
  <c r="P258" i="1"/>
  <c r="M261" i="1"/>
  <c r="O261" i="1" s="1"/>
  <c r="P261" i="1"/>
  <c r="M12" i="1"/>
  <c r="O12" i="1" s="1"/>
  <c r="P12" i="1"/>
  <c r="M263" i="1"/>
  <c r="O263" i="1" s="1"/>
  <c r="P263" i="1"/>
  <c r="M264" i="1"/>
  <c r="O264" i="1" s="1"/>
  <c r="P264" i="1"/>
  <c r="M265" i="1"/>
  <c r="O265" i="1" s="1"/>
  <c r="P265" i="1"/>
  <c r="M266" i="1"/>
  <c r="O266" i="1" s="1"/>
  <c r="P266" i="1"/>
  <c r="M267" i="1"/>
  <c r="O267" i="1" s="1"/>
  <c r="P267" i="1"/>
  <c r="M268" i="1"/>
  <c r="O268" i="1" s="1"/>
  <c r="P268" i="1"/>
  <c r="M273" i="1"/>
  <c r="O273" i="1" s="1"/>
  <c r="P273" i="1"/>
  <c r="M274" i="1"/>
  <c r="O274" i="1" s="1"/>
  <c r="P274" i="1"/>
  <c r="M168" i="1"/>
  <c r="N168" i="1" s="1"/>
  <c r="P168" i="1"/>
  <c r="M169" i="1"/>
  <c r="O169" i="1" s="1"/>
  <c r="P169" i="1"/>
  <c r="M170" i="1"/>
  <c r="N170" i="1" s="1"/>
  <c r="P170" i="1"/>
  <c r="M171" i="1"/>
  <c r="O171" i="1" s="1"/>
  <c r="P171" i="1"/>
  <c r="M172" i="1"/>
  <c r="N172" i="1" s="1"/>
  <c r="P172" i="1"/>
  <c r="M173" i="1"/>
  <c r="O173" i="1" s="1"/>
  <c r="P173" i="1"/>
  <c r="M174" i="1"/>
  <c r="N174" i="1" s="1"/>
  <c r="P174" i="1"/>
  <c r="M175" i="1"/>
  <c r="O175" i="1" s="1"/>
  <c r="P175" i="1"/>
  <c r="M176" i="1"/>
  <c r="N176" i="1" s="1"/>
  <c r="P176" i="1"/>
  <c r="O276" i="1" l="1"/>
  <c r="O270" i="1"/>
  <c r="N272" i="1"/>
  <c r="O269" i="1"/>
  <c r="O257" i="1"/>
  <c r="N262" i="1"/>
  <c r="N249" i="1"/>
  <c r="N242" i="1"/>
  <c r="O228" i="1"/>
  <c r="N223" i="1"/>
  <c r="N218" i="1"/>
  <c r="O215" i="1"/>
  <c r="N213" i="1"/>
  <c r="N211" i="1"/>
  <c r="N208" i="1"/>
  <c r="N200" i="1"/>
  <c r="N202" i="1"/>
  <c r="O196" i="1"/>
  <c r="O190" i="1"/>
  <c r="N192" i="1"/>
  <c r="N186" i="1"/>
  <c r="O188" i="1"/>
  <c r="N263" i="1"/>
  <c r="N275" i="1"/>
  <c r="N171" i="1"/>
  <c r="N268" i="1"/>
  <c r="N244" i="1"/>
  <c r="N229" i="1"/>
  <c r="N204" i="1"/>
  <c r="N233" i="1"/>
  <c r="N237" i="1"/>
  <c r="N221" i="1"/>
  <c r="N182" i="1"/>
  <c r="N265" i="1"/>
  <c r="N240" i="1"/>
  <c r="N230" i="1"/>
  <c r="N185" i="1"/>
  <c r="N246" i="1"/>
  <c r="N236" i="1"/>
  <c r="N256" i="1"/>
  <c r="N250" i="1"/>
  <c r="N180" i="1"/>
  <c r="N258" i="1"/>
  <c r="N260" i="1"/>
  <c r="N248" i="1"/>
  <c r="N245" i="1"/>
  <c r="N191" i="1"/>
  <c r="N184" i="1"/>
  <c r="N181" i="1"/>
  <c r="N217" i="1"/>
  <c r="N209" i="1"/>
  <c r="N205" i="1"/>
  <c r="N6" i="1"/>
  <c r="N241" i="1"/>
  <c r="N238" i="1"/>
  <c r="N232" i="1"/>
  <c r="N220" i="1"/>
  <c r="N198" i="1"/>
  <c r="N173" i="1"/>
  <c r="N271" i="1"/>
  <c r="N253" i="1"/>
  <c r="N222" i="1"/>
  <c r="N214" i="1"/>
  <c r="N225" i="1"/>
  <c r="N177" i="1"/>
  <c r="N264" i="1"/>
  <c r="N12" i="1"/>
  <c r="N254" i="1"/>
  <c r="N206" i="1"/>
  <c r="N201" i="1"/>
  <c r="N189" i="1"/>
  <c r="N169" i="1"/>
  <c r="N273" i="1"/>
  <c r="N266" i="1"/>
  <c r="N251" i="1"/>
  <c r="N243" i="1"/>
  <c r="N234" i="1"/>
  <c r="N226" i="1"/>
  <c r="N219" i="1"/>
  <c r="N210" i="1"/>
  <c r="N224" i="1"/>
  <c r="N203" i="1"/>
  <c r="N187" i="1"/>
  <c r="N175" i="1"/>
  <c r="N255" i="1"/>
  <c r="N247" i="1"/>
  <c r="N239" i="1"/>
  <c r="N231" i="1"/>
  <c r="N7" i="1"/>
  <c r="N216" i="1"/>
  <c r="N207" i="1"/>
  <c r="N199" i="1"/>
  <c r="N183" i="1"/>
  <c r="N274" i="1"/>
  <c r="N267" i="1"/>
  <c r="N261" i="1"/>
  <c r="N235" i="1"/>
  <c r="N227" i="1"/>
  <c r="N212" i="1"/>
  <c r="N195" i="1"/>
  <c r="O176" i="1"/>
  <c r="O174" i="1"/>
  <c r="O172" i="1"/>
  <c r="O170" i="1"/>
  <c r="O168" i="1"/>
  <c r="M159" i="1"/>
  <c r="O159" i="1" s="1"/>
  <c r="P13" i="1"/>
  <c r="M13" i="1"/>
  <c r="N13" i="1" s="1"/>
  <c r="M5" i="1"/>
  <c r="N5" i="1" s="1"/>
  <c r="P5" i="1"/>
  <c r="M31" i="1"/>
  <c r="O31" i="1" s="1"/>
  <c r="P31" i="1"/>
  <c r="M32" i="1"/>
  <c r="N32" i="1" s="1"/>
  <c r="P32" i="1"/>
  <c r="M156" i="1"/>
  <c r="O156" i="1" s="1"/>
  <c r="P156" i="1"/>
  <c r="M10" i="1"/>
  <c r="P10" i="1"/>
  <c r="M11" i="1"/>
  <c r="O11" i="1" s="1"/>
  <c r="P11" i="1"/>
  <c r="M157" i="1"/>
  <c r="P157" i="1"/>
  <c r="M193" i="1"/>
  <c r="O193" i="1" s="1"/>
  <c r="P193" i="1"/>
  <c r="M14" i="1"/>
  <c r="P14" i="1"/>
  <c r="M15" i="1"/>
  <c r="O15" i="1" s="1"/>
  <c r="P15" i="1"/>
  <c r="M16" i="1"/>
  <c r="P16" i="1"/>
  <c r="M17" i="1"/>
  <c r="O17" i="1" s="1"/>
  <c r="P17" i="1"/>
  <c r="M18" i="1"/>
  <c r="P18" i="1"/>
  <c r="M19" i="1"/>
  <c r="O19" i="1" s="1"/>
  <c r="P19" i="1"/>
  <c r="M20" i="1"/>
  <c r="P20" i="1"/>
  <c r="M21" i="1"/>
  <c r="O21" i="1" s="1"/>
  <c r="P21" i="1"/>
  <c r="M22" i="1"/>
  <c r="P22" i="1"/>
  <c r="M23" i="1"/>
  <c r="O23" i="1" s="1"/>
  <c r="P23" i="1"/>
  <c r="M24" i="1"/>
  <c r="P24" i="1"/>
  <c r="M25" i="1"/>
  <c r="O25" i="1" s="1"/>
  <c r="P25" i="1"/>
  <c r="M26" i="1"/>
  <c r="P26" i="1"/>
  <c r="M27" i="1"/>
  <c r="O27" i="1" s="1"/>
  <c r="P27" i="1"/>
  <c r="M28" i="1"/>
  <c r="P28" i="1"/>
  <c r="M29" i="1"/>
  <c r="O29" i="1" s="1"/>
  <c r="P29" i="1"/>
  <c r="M30" i="1"/>
  <c r="P30" i="1"/>
  <c r="M194" i="1"/>
  <c r="O194" i="1" s="1"/>
  <c r="P194" i="1"/>
  <c r="M8" i="1"/>
  <c r="P8" i="1"/>
  <c r="M33" i="1"/>
  <c r="O33" i="1" s="1"/>
  <c r="P33" i="1"/>
  <c r="M34" i="1"/>
  <c r="P34" i="1"/>
  <c r="M35" i="1"/>
  <c r="O35" i="1" s="1"/>
  <c r="P35" i="1"/>
  <c r="M36" i="1"/>
  <c r="P36" i="1"/>
  <c r="M37" i="1"/>
  <c r="O37" i="1" s="1"/>
  <c r="P37" i="1"/>
  <c r="M38" i="1"/>
  <c r="P38" i="1"/>
  <c r="M39" i="1"/>
  <c r="O39" i="1" s="1"/>
  <c r="P39" i="1"/>
  <c r="M40" i="1"/>
  <c r="P40" i="1"/>
  <c r="M41" i="1"/>
  <c r="O41" i="1" s="1"/>
  <c r="P41" i="1"/>
  <c r="M42" i="1"/>
  <c r="P42" i="1"/>
  <c r="M43" i="1"/>
  <c r="O43" i="1" s="1"/>
  <c r="P43" i="1"/>
  <c r="M44" i="1"/>
  <c r="P44" i="1"/>
  <c r="M45" i="1"/>
  <c r="O45" i="1" s="1"/>
  <c r="P45" i="1"/>
  <c r="M46" i="1"/>
  <c r="P46" i="1"/>
  <c r="M47" i="1"/>
  <c r="O47" i="1" s="1"/>
  <c r="P47" i="1"/>
  <c r="M48" i="1"/>
  <c r="P48" i="1"/>
  <c r="M49" i="1"/>
  <c r="O49" i="1" s="1"/>
  <c r="P49" i="1"/>
  <c r="M50" i="1"/>
  <c r="P50" i="1"/>
  <c r="M51" i="1"/>
  <c r="O51" i="1" s="1"/>
  <c r="P51" i="1"/>
  <c r="M52" i="1"/>
  <c r="P52" i="1"/>
  <c r="M53" i="1"/>
  <c r="O53" i="1" s="1"/>
  <c r="P53" i="1"/>
  <c r="M54" i="1"/>
  <c r="P54" i="1"/>
  <c r="M55" i="1"/>
  <c r="O55" i="1" s="1"/>
  <c r="P55" i="1"/>
  <c r="M56" i="1"/>
  <c r="P56" i="1"/>
  <c r="M57" i="1"/>
  <c r="O57" i="1" s="1"/>
  <c r="P57" i="1"/>
  <c r="M58" i="1"/>
  <c r="P58" i="1"/>
  <c r="M59" i="1"/>
  <c r="O59" i="1" s="1"/>
  <c r="P59" i="1"/>
  <c r="M60" i="1"/>
  <c r="P60" i="1"/>
  <c r="M61" i="1"/>
  <c r="O61" i="1" s="1"/>
  <c r="P61" i="1"/>
  <c r="M62" i="1"/>
  <c r="P62" i="1"/>
  <c r="M63" i="1"/>
  <c r="O63" i="1" s="1"/>
  <c r="P63" i="1"/>
  <c r="M64" i="1"/>
  <c r="P64" i="1"/>
  <c r="M65" i="1"/>
  <c r="O65" i="1" s="1"/>
  <c r="P65" i="1"/>
  <c r="M66" i="1"/>
  <c r="P66" i="1"/>
  <c r="M67" i="1"/>
  <c r="O67" i="1" s="1"/>
  <c r="P67" i="1"/>
  <c r="M68" i="1"/>
  <c r="P68" i="1"/>
  <c r="M69" i="1"/>
  <c r="O69" i="1" s="1"/>
  <c r="P69" i="1"/>
  <c r="M70" i="1"/>
  <c r="P70" i="1"/>
  <c r="M71" i="1"/>
  <c r="O71" i="1" s="1"/>
  <c r="P71" i="1"/>
  <c r="M72" i="1"/>
  <c r="P72" i="1"/>
  <c r="M73" i="1"/>
  <c r="O73" i="1" s="1"/>
  <c r="P73" i="1"/>
  <c r="M74" i="1"/>
  <c r="P74" i="1"/>
  <c r="M75" i="1"/>
  <c r="O75" i="1" s="1"/>
  <c r="P75" i="1"/>
  <c r="M76" i="1"/>
  <c r="P76" i="1"/>
  <c r="M77" i="1"/>
  <c r="O77" i="1" s="1"/>
  <c r="P77" i="1"/>
  <c r="M78" i="1"/>
  <c r="P78" i="1"/>
  <c r="M79" i="1"/>
  <c r="O79" i="1" s="1"/>
  <c r="P79" i="1"/>
  <c r="M80" i="1"/>
  <c r="P80" i="1"/>
  <c r="M81" i="1"/>
  <c r="O81" i="1" s="1"/>
  <c r="P81" i="1"/>
  <c r="M82" i="1"/>
  <c r="P82" i="1"/>
  <c r="M83" i="1"/>
  <c r="O83" i="1" s="1"/>
  <c r="P83" i="1"/>
  <c r="M84" i="1"/>
  <c r="P84" i="1"/>
  <c r="M85" i="1"/>
  <c r="O85" i="1" s="1"/>
  <c r="P85" i="1"/>
  <c r="M86" i="1"/>
  <c r="P86" i="1"/>
  <c r="M87" i="1"/>
  <c r="O87" i="1" s="1"/>
  <c r="P87" i="1"/>
  <c r="M88" i="1"/>
  <c r="P88" i="1"/>
  <c r="M89" i="1"/>
  <c r="O89" i="1" s="1"/>
  <c r="P89" i="1"/>
  <c r="M90" i="1"/>
  <c r="P90" i="1"/>
  <c r="M91" i="1"/>
  <c r="O91" i="1" s="1"/>
  <c r="P91" i="1"/>
  <c r="M92" i="1"/>
  <c r="P92" i="1"/>
  <c r="M93" i="1"/>
  <c r="O93" i="1" s="1"/>
  <c r="P93" i="1"/>
  <c r="M94" i="1"/>
  <c r="P94" i="1"/>
  <c r="M95" i="1"/>
  <c r="O95" i="1" s="1"/>
  <c r="P95" i="1"/>
  <c r="M96" i="1"/>
  <c r="P96" i="1"/>
  <c r="M97" i="1"/>
  <c r="O97" i="1" s="1"/>
  <c r="P97" i="1"/>
  <c r="M98" i="1"/>
  <c r="P98" i="1"/>
  <c r="M99" i="1"/>
  <c r="O99" i="1" s="1"/>
  <c r="P99" i="1"/>
  <c r="M100" i="1"/>
  <c r="P100" i="1"/>
  <c r="M101" i="1"/>
  <c r="O101" i="1" s="1"/>
  <c r="P101" i="1"/>
  <c r="M102" i="1"/>
  <c r="P102" i="1"/>
  <c r="M103" i="1"/>
  <c r="O103" i="1" s="1"/>
  <c r="P103" i="1"/>
  <c r="M104" i="1"/>
  <c r="O104" i="1" s="1"/>
  <c r="P104" i="1"/>
  <c r="M105" i="1"/>
  <c r="O105" i="1" s="1"/>
  <c r="P105" i="1"/>
  <c r="M106" i="1"/>
  <c r="O106" i="1" s="1"/>
  <c r="P106" i="1"/>
  <c r="M107" i="1"/>
  <c r="O107" i="1" s="1"/>
  <c r="P107" i="1"/>
  <c r="M108" i="1"/>
  <c r="O108" i="1" s="1"/>
  <c r="P108" i="1"/>
  <c r="M109" i="1"/>
  <c r="O109" i="1" s="1"/>
  <c r="P109" i="1"/>
  <c r="M110" i="1"/>
  <c r="O110" i="1" s="1"/>
  <c r="P110" i="1"/>
  <c r="M111" i="1"/>
  <c r="O111" i="1" s="1"/>
  <c r="P111" i="1"/>
  <c r="M112" i="1"/>
  <c r="O112" i="1" s="1"/>
  <c r="P112" i="1"/>
  <c r="M113" i="1"/>
  <c r="O113" i="1" s="1"/>
  <c r="P113" i="1"/>
  <c r="M114" i="1"/>
  <c r="O114" i="1" s="1"/>
  <c r="P114" i="1"/>
  <c r="M115" i="1"/>
  <c r="O115" i="1" s="1"/>
  <c r="P115" i="1"/>
  <c r="M116" i="1"/>
  <c r="O116" i="1" s="1"/>
  <c r="P116" i="1"/>
  <c r="M117" i="1"/>
  <c r="O117" i="1" s="1"/>
  <c r="P117" i="1"/>
  <c r="M118" i="1"/>
  <c r="O118" i="1" s="1"/>
  <c r="P118" i="1"/>
  <c r="M119" i="1"/>
  <c r="O119" i="1" s="1"/>
  <c r="P119" i="1"/>
  <c r="M120" i="1"/>
  <c r="O120" i="1" s="1"/>
  <c r="P120" i="1"/>
  <c r="M121" i="1"/>
  <c r="O121" i="1" s="1"/>
  <c r="P121" i="1"/>
  <c r="M122" i="1"/>
  <c r="O122" i="1" s="1"/>
  <c r="P122" i="1"/>
  <c r="M123" i="1"/>
  <c r="O123" i="1" s="1"/>
  <c r="P123" i="1"/>
  <c r="M124" i="1"/>
  <c r="O124" i="1" s="1"/>
  <c r="P124" i="1"/>
  <c r="M125" i="1"/>
  <c r="O125" i="1" s="1"/>
  <c r="P125" i="1"/>
  <c r="M126" i="1"/>
  <c r="O126" i="1" s="1"/>
  <c r="P126" i="1"/>
  <c r="M127" i="1"/>
  <c r="O127" i="1" s="1"/>
  <c r="P127" i="1"/>
  <c r="M128" i="1"/>
  <c r="O128" i="1" s="1"/>
  <c r="P128" i="1"/>
  <c r="M129" i="1"/>
  <c r="O129" i="1" s="1"/>
  <c r="P129" i="1"/>
  <c r="M130" i="1"/>
  <c r="O130" i="1" s="1"/>
  <c r="P130" i="1"/>
  <c r="M131" i="1"/>
  <c r="N131" i="1" s="1"/>
  <c r="P131" i="1"/>
  <c r="M132" i="1"/>
  <c r="O132" i="1" s="1"/>
  <c r="P132" i="1"/>
  <c r="M133" i="1"/>
  <c r="N133" i="1" s="1"/>
  <c r="P133" i="1"/>
  <c r="M134" i="1"/>
  <c r="O134" i="1" s="1"/>
  <c r="P134" i="1"/>
  <c r="M135" i="1"/>
  <c r="N135" i="1" s="1"/>
  <c r="P135" i="1"/>
  <c r="M136" i="1"/>
  <c r="O136" i="1" s="1"/>
  <c r="P136" i="1"/>
  <c r="M137" i="1"/>
  <c r="N137" i="1" s="1"/>
  <c r="P137" i="1"/>
  <c r="M138" i="1"/>
  <c r="O138" i="1" s="1"/>
  <c r="P138" i="1"/>
  <c r="M139" i="1"/>
  <c r="N139" i="1" s="1"/>
  <c r="P139" i="1"/>
  <c r="M140" i="1"/>
  <c r="O140" i="1" s="1"/>
  <c r="P140" i="1"/>
  <c r="M141" i="1"/>
  <c r="N141" i="1" s="1"/>
  <c r="P141" i="1"/>
  <c r="M142" i="1"/>
  <c r="O142" i="1" s="1"/>
  <c r="P142" i="1"/>
  <c r="M143" i="1"/>
  <c r="N143" i="1" s="1"/>
  <c r="P143" i="1"/>
  <c r="M144" i="1"/>
  <c r="O144" i="1" s="1"/>
  <c r="P144" i="1"/>
  <c r="M145" i="1"/>
  <c r="N145" i="1" s="1"/>
  <c r="P145" i="1"/>
  <c r="M146" i="1"/>
  <c r="O146" i="1" s="1"/>
  <c r="P146" i="1"/>
  <c r="M147" i="1"/>
  <c r="O147" i="1" s="1"/>
  <c r="P147" i="1"/>
  <c r="M148" i="1"/>
  <c r="O148" i="1" s="1"/>
  <c r="P148" i="1"/>
  <c r="M149" i="1"/>
  <c r="N149" i="1" s="1"/>
  <c r="P149" i="1"/>
  <c r="M150" i="1"/>
  <c r="O150" i="1" s="1"/>
  <c r="P150" i="1"/>
  <c r="M151" i="1"/>
  <c r="N151" i="1" s="1"/>
  <c r="P151" i="1"/>
  <c r="M152" i="1"/>
  <c r="O152" i="1" s="1"/>
  <c r="P152" i="1"/>
  <c r="M153" i="1"/>
  <c r="N153" i="1" s="1"/>
  <c r="P153" i="1"/>
  <c r="M154" i="1"/>
  <c r="O154" i="1" s="1"/>
  <c r="P154" i="1"/>
  <c r="M155" i="1"/>
  <c r="N155" i="1" s="1"/>
  <c r="P155" i="1"/>
  <c r="M9" i="1"/>
  <c r="O9" i="1" s="1"/>
  <c r="P9" i="1"/>
  <c r="M197" i="1"/>
  <c r="N197" i="1" s="1"/>
  <c r="P197" i="1"/>
  <c r="M158" i="1"/>
  <c r="O158" i="1" s="1"/>
  <c r="P158" i="1"/>
  <c r="P159" i="1"/>
  <c r="M160" i="1"/>
  <c r="O160" i="1" s="1"/>
  <c r="P160" i="1"/>
  <c r="M161" i="1"/>
  <c r="O161" i="1" s="1"/>
  <c r="P161" i="1"/>
  <c r="M162" i="1"/>
  <c r="O162" i="1" s="1"/>
  <c r="P162" i="1"/>
  <c r="M163" i="1"/>
  <c r="O163" i="1" s="1"/>
  <c r="P163" i="1"/>
  <c r="M164" i="1"/>
  <c r="O164" i="1" s="1"/>
  <c r="P164" i="1"/>
  <c r="M165" i="1"/>
  <c r="N165" i="1" s="1"/>
  <c r="P165" i="1"/>
  <c r="M166" i="1"/>
  <c r="O166" i="1" s="1"/>
  <c r="P166" i="1"/>
  <c r="M167" i="1"/>
  <c r="N167" i="1" s="1"/>
  <c r="P167" i="1"/>
  <c r="M295" i="1"/>
  <c r="O295" i="1" s="1"/>
  <c r="P295" i="1"/>
  <c r="M296" i="1"/>
  <c r="O296" i="1" s="1"/>
  <c r="P296" i="1"/>
  <c r="M297" i="1"/>
  <c r="O297" i="1" s="1"/>
  <c r="P297" i="1"/>
  <c r="M298" i="1"/>
  <c r="O298" i="1" s="1"/>
  <c r="P298" i="1"/>
  <c r="M299" i="1"/>
  <c r="O299" i="1" s="1"/>
  <c r="P299" i="1"/>
  <c r="M300" i="1"/>
  <c r="P300" i="1"/>
  <c r="M301" i="1"/>
  <c r="O301" i="1" s="1"/>
  <c r="P301" i="1"/>
  <c r="M302" i="1"/>
  <c r="P302" i="1"/>
  <c r="M303" i="1"/>
  <c r="O303" i="1" s="1"/>
  <c r="P303" i="1"/>
  <c r="M304" i="1"/>
  <c r="P304" i="1"/>
  <c r="M305" i="1"/>
  <c r="O305" i="1" s="1"/>
  <c r="P305" i="1"/>
  <c r="M306" i="1"/>
  <c r="P306" i="1"/>
  <c r="M307" i="1"/>
  <c r="O307" i="1" s="1"/>
  <c r="P307" i="1"/>
  <c r="M308" i="1"/>
  <c r="P308" i="1"/>
  <c r="M309" i="1"/>
  <c r="O309" i="1" s="1"/>
  <c r="P309" i="1"/>
  <c r="M310" i="1"/>
  <c r="P310" i="1"/>
  <c r="M311" i="1"/>
  <c r="O311" i="1" s="1"/>
  <c r="P311" i="1"/>
  <c r="M312" i="1"/>
  <c r="P312" i="1"/>
  <c r="M313" i="1"/>
  <c r="O313" i="1" s="1"/>
  <c r="P313" i="1"/>
  <c r="M314" i="1"/>
  <c r="P314" i="1"/>
  <c r="M315" i="1"/>
  <c r="O315" i="1" s="1"/>
  <c r="P315" i="1"/>
  <c r="M316" i="1"/>
  <c r="P316" i="1"/>
  <c r="M317" i="1"/>
  <c r="O317" i="1" s="1"/>
  <c r="P317" i="1"/>
  <c r="M318" i="1"/>
  <c r="P318" i="1"/>
  <c r="M319" i="1"/>
  <c r="O319" i="1" s="1"/>
  <c r="P319" i="1"/>
  <c r="M320" i="1"/>
  <c r="P320" i="1"/>
  <c r="M321" i="1"/>
  <c r="O321" i="1" s="1"/>
  <c r="P321" i="1"/>
  <c r="M322" i="1"/>
  <c r="P322" i="1"/>
  <c r="M323" i="1"/>
  <c r="O323" i="1" s="1"/>
  <c r="P323" i="1"/>
  <c r="M324" i="1"/>
  <c r="P324" i="1"/>
  <c r="M325" i="1"/>
  <c r="O325" i="1" s="1"/>
  <c r="P325" i="1"/>
  <c r="M326" i="1"/>
  <c r="P326" i="1"/>
  <c r="M327" i="1"/>
  <c r="O327" i="1" s="1"/>
  <c r="P327" i="1"/>
  <c r="M328" i="1"/>
  <c r="P328" i="1"/>
  <c r="M329" i="1"/>
  <c r="O329" i="1" s="1"/>
  <c r="P329" i="1"/>
  <c r="M330" i="1"/>
  <c r="P330" i="1"/>
  <c r="M331" i="1"/>
  <c r="O331" i="1" s="1"/>
  <c r="P331" i="1"/>
  <c r="M332" i="1"/>
  <c r="P332" i="1"/>
  <c r="M333" i="1"/>
  <c r="O333" i="1" s="1"/>
  <c r="P333" i="1"/>
  <c r="M334" i="1"/>
  <c r="P334" i="1"/>
  <c r="M335" i="1"/>
  <c r="O335" i="1" s="1"/>
  <c r="P335" i="1"/>
  <c r="M336" i="1"/>
  <c r="P336" i="1"/>
  <c r="M337" i="1"/>
  <c r="O337" i="1" s="1"/>
  <c r="P337" i="1"/>
  <c r="M338" i="1"/>
  <c r="P338" i="1"/>
  <c r="M339" i="1"/>
  <c r="O339" i="1" s="1"/>
  <c r="P339" i="1"/>
  <c r="M340" i="1"/>
  <c r="P340" i="1"/>
  <c r="M341" i="1"/>
  <c r="O341" i="1" s="1"/>
  <c r="P341" i="1"/>
  <c r="M342" i="1"/>
  <c r="P342" i="1"/>
  <c r="M343" i="1"/>
  <c r="N343" i="1" s="1"/>
  <c r="P343" i="1"/>
  <c r="M344" i="1"/>
  <c r="P344" i="1"/>
  <c r="M345" i="1"/>
  <c r="N345" i="1" s="1"/>
  <c r="P345" i="1"/>
  <c r="M346" i="1"/>
  <c r="P346" i="1"/>
  <c r="M347" i="1"/>
  <c r="N347" i="1" s="1"/>
  <c r="P347" i="1"/>
  <c r="M348" i="1"/>
  <c r="P348" i="1"/>
  <c r="M349" i="1"/>
  <c r="N349" i="1" s="1"/>
  <c r="P349" i="1"/>
  <c r="M350" i="1"/>
  <c r="P350" i="1"/>
  <c r="M351" i="1"/>
  <c r="N351" i="1" s="1"/>
  <c r="P351" i="1"/>
  <c r="M352" i="1"/>
  <c r="P352" i="1"/>
  <c r="M353" i="1"/>
  <c r="N353" i="1" s="1"/>
  <c r="P353" i="1"/>
  <c r="M354" i="1"/>
  <c r="N354" i="1" s="1"/>
  <c r="P354" i="1"/>
  <c r="M355" i="1"/>
  <c r="N355" i="1" s="1"/>
  <c r="P355" i="1"/>
  <c r="M356" i="1"/>
  <c r="N356" i="1" s="1"/>
  <c r="P356" i="1"/>
  <c r="M357" i="1"/>
  <c r="N357" i="1" s="1"/>
  <c r="P357" i="1"/>
  <c r="M358" i="1"/>
  <c r="O358" i="1" s="1"/>
  <c r="P358" i="1"/>
  <c r="M359" i="1"/>
  <c r="N359" i="1" s="1"/>
  <c r="P359" i="1"/>
  <c r="M360" i="1"/>
  <c r="N360" i="1" s="1"/>
  <c r="P360" i="1"/>
  <c r="M361" i="1"/>
  <c r="N361" i="1" s="1"/>
  <c r="P361" i="1"/>
  <c r="M362" i="1"/>
  <c r="O362" i="1" s="1"/>
  <c r="P362" i="1"/>
  <c r="M363" i="1"/>
  <c r="N363" i="1" s="1"/>
  <c r="P363" i="1"/>
  <c r="M364" i="1"/>
  <c r="N364" i="1" s="1"/>
  <c r="P364" i="1"/>
  <c r="M365" i="1"/>
  <c r="N365" i="1" s="1"/>
  <c r="P365" i="1"/>
  <c r="M366" i="1"/>
  <c r="N366" i="1" s="1"/>
  <c r="P366" i="1"/>
  <c r="M367" i="1"/>
  <c r="N367" i="1" s="1"/>
  <c r="P367" i="1"/>
  <c r="M368" i="1"/>
  <c r="N368" i="1" s="1"/>
  <c r="P368" i="1"/>
  <c r="M369" i="1"/>
  <c r="N369" i="1" s="1"/>
  <c r="P369" i="1"/>
  <c r="M370" i="1"/>
  <c r="O370" i="1" s="1"/>
  <c r="P370" i="1"/>
  <c r="M371" i="1"/>
  <c r="N371" i="1" s="1"/>
  <c r="P371" i="1"/>
  <c r="M372" i="1"/>
  <c r="O372" i="1" s="1"/>
  <c r="P372" i="1"/>
  <c r="M373" i="1"/>
  <c r="N373" i="1" s="1"/>
  <c r="P373" i="1"/>
  <c r="M374" i="1"/>
  <c r="N374" i="1" s="1"/>
  <c r="P374" i="1"/>
  <c r="M375" i="1"/>
  <c r="N375" i="1" s="1"/>
  <c r="P375" i="1"/>
  <c r="M376" i="1"/>
  <c r="N376" i="1" s="1"/>
  <c r="P376" i="1"/>
  <c r="M377" i="1"/>
  <c r="N377" i="1" s="1"/>
  <c r="P377" i="1"/>
  <c r="M378" i="1"/>
  <c r="O378" i="1" s="1"/>
  <c r="P378" i="1"/>
  <c r="M379" i="1"/>
  <c r="N379" i="1" s="1"/>
  <c r="P379" i="1"/>
  <c r="M380" i="1"/>
  <c r="N380" i="1" s="1"/>
  <c r="P380" i="1"/>
  <c r="M381" i="1"/>
  <c r="N381" i="1" s="1"/>
  <c r="P381" i="1"/>
  <c r="M382" i="1"/>
  <c r="N382" i="1" s="1"/>
  <c r="P382" i="1"/>
  <c r="M383" i="1"/>
  <c r="N383" i="1" s="1"/>
  <c r="P383" i="1"/>
  <c r="M384" i="1"/>
  <c r="N384" i="1" s="1"/>
  <c r="P384" i="1"/>
  <c r="M385" i="1"/>
  <c r="N385" i="1" s="1"/>
  <c r="P385" i="1"/>
  <c r="M386" i="1"/>
  <c r="O386" i="1" s="1"/>
  <c r="P386" i="1"/>
  <c r="M387" i="1"/>
  <c r="N387" i="1" s="1"/>
  <c r="P387" i="1"/>
  <c r="M388" i="1"/>
  <c r="N388" i="1" s="1"/>
  <c r="P388" i="1"/>
  <c r="M389" i="1"/>
  <c r="N389" i="1" s="1"/>
  <c r="P389" i="1"/>
  <c r="M390" i="1"/>
  <c r="O390" i="1" s="1"/>
  <c r="P390" i="1"/>
  <c r="M391" i="1"/>
  <c r="N391" i="1" s="1"/>
  <c r="P391" i="1"/>
  <c r="M392" i="1"/>
  <c r="N392" i="1" s="1"/>
  <c r="P392" i="1"/>
  <c r="M393" i="1"/>
  <c r="N393" i="1" s="1"/>
  <c r="P393" i="1"/>
  <c r="M394" i="1"/>
  <c r="O394" i="1" s="1"/>
  <c r="P394" i="1"/>
  <c r="M395" i="1"/>
  <c r="N395" i="1" s="1"/>
  <c r="P395" i="1"/>
  <c r="M396" i="1"/>
  <c r="N396" i="1" s="1"/>
  <c r="P396" i="1"/>
  <c r="M397" i="1"/>
  <c r="N397" i="1" s="1"/>
  <c r="P397" i="1"/>
  <c r="M398" i="1"/>
  <c r="N398" i="1" s="1"/>
  <c r="P398" i="1"/>
  <c r="N390" i="1" l="1"/>
  <c r="N159" i="1"/>
  <c r="N126" i="1"/>
  <c r="O353" i="1"/>
  <c r="O345" i="1"/>
  <c r="N358" i="1"/>
  <c r="N378" i="1"/>
  <c r="O396" i="1"/>
  <c r="N372" i="1"/>
  <c r="N362" i="1"/>
  <c r="N311" i="1"/>
  <c r="N161" i="1"/>
  <c r="O374" i="1"/>
  <c r="O366" i="1"/>
  <c r="N321" i="1"/>
  <c r="N305" i="1"/>
  <c r="O398" i="1"/>
  <c r="O380" i="1"/>
  <c r="N386" i="1"/>
  <c r="N337" i="1"/>
  <c r="O133" i="1"/>
  <c r="O382" i="1"/>
  <c r="O364" i="1"/>
  <c r="O388" i="1"/>
  <c r="N370" i="1"/>
  <c r="O343" i="1"/>
  <c r="N317" i="1"/>
  <c r="N394" i="1"/>
  <c r="O356" i="1"/>
  <c r="N333" i="1"/>
  <c r="N301" i="1"/>
  <c r="N129" i="1"/>
  <c r="N325" i="1"/>
  <c r="N147" i="1"/>
  <c r="N101" i="1"/>
  <c r="O360" i="1"/>
  <c r="O392" i="1"/>
  <c r="O384" i="1"/>
  <c r="O376" i="1"/>
  <c r="O368" i="1"/>
  <c r="O351" i="1"/>
  <c r="N327" i="1"/>
  <c r="N295" i="1"/>
  <c r="N341" i="1"/>
  <c r="N309" i="1"/>
  <c r="N128" i="1"/>
  <c r="N152" i="1"/>
  <c r="O145" i="1"/>
  <c r="N120" i="1"/>
  <c r="N17" i="1"/>
  <c r="O153" i="1"/>
  <c r="O143" i="1"/>
  <c r="N9" i="1"/>
  <c r="N118" i="1"/>
  <c r="N83" i="1"/>
  <c r="O13" i="1"/>
  <c r="N140" i="1"/>
  <c r="N123" i="1"/>
  <c r="N158" i="1"/>
  <c r="N112" i="1"/>
  <c r="N89" i="1"/>
  <c r="N163" i="1"/>
  <c r="N142" i="1"/>
  <c r="N115" i="1"/>
  <c r="O131" i="1"/>
  <c r="N136" i="1"/>
  <c r="N116" i="1"/>
  <c r="N113" i="1"/>
  <c r="N110" i="1"/>
  <c r="N107" i="1"/>
  <c r="N104" i="1"/>
  <c r="O165" i="1"/>
  <c r="N160" i="1"/>
  <c r="O149" i="1"/>
  <c r="N144" i="1"/>
  <c r="N93" i="1"/>
  <c r="N154" i="1"/>
  <c r="N138" i="1"/>
  <c r="O135" i="1"/>
  <c r="N124" i="1"/>
  <c r="N121" i="1"/>
  <c r="O167" i="1"/>
  <c r="O151" i="1"/>
  <c r="N99" i="1"/>
  <c r="N85" i="1"/>
  <c r="N108" i="1"/>
  <c r="N105" i="1"/>
  <c r="N95" i="1"/>
  <c r="N27" i="1"/>
  <c r="N77" i="1"/>
  <c r="N57" i="1"/>
  <c r="N33" i="1"/>
  <c r="N79" i="1"/>
  <c r="N29" i="1"/>
  <c r="N63" i="1"/>
  <c r="N15" i="1"/>
  <c r="N11" i="1"/>
  <c r="N194" i="1"/>
  <c r="N61" i="1"/>
  <c r="N193" i="1"/>
  <c r="N47" i="1"/>
  <c r="N37" i="1"/>
  <c r="N21" i="1"/>
  <c r="N67" i="1"/>
  <c r="N53" i="1"/>
  <c r="N39" i="1"/>
  <c r="N23" i="1"/>
  <c r="N31" i="1"/>
  <c r="N73" i="1"/>
  <c r="N45" i="1"/>
  <c r="N35" i="1"/>
  <c r="N19" i="1"/>
  <c r="N69" i="1"/>
  <c r="N41" i="1"/>
  <c r="N25" i="1"/>
  <c r="N156" i="1"/>
  <c r="N92" i="1"/>
  <c r="O92" i="1"/>
  <c r="N76" i="1"/>
  <c r="O76" i="1"/>
  <c r="N60" i="1"/>
  <c r="O60" i="1"/>
  <c r="N44" i="1"/>
  <c r="O44" i="1"/>
  <c r="N28" i="1"/>
  <c r="O28" i="1"/>
  <c r="N157" i="1"/>
  <c r="O157" i="1"/>
  <c r="O137" i="1"/>
  <c r="N98" i="1"/>
  <c r="O98" i="1"/>
  <c r="N82" i="1"/>
  <c r="O82" i="1"/>
  <c r="N66" i="1"/>
  <c r="O66" i="1"/>
  <c r="N50" i="1"/>
  <c r="O50" i="1"/>
  <c r="N34" i="1"/>
  <c r="O34" i="1"/>
  <c r="N18" i="1"/>
  <c r="O18" i="1"/>
  <c r="N162" i="1"/>
  <c r="O155" i="1"/>
  <c r="N146" i="1"/>
  <c r="O139" i="1"/>
  <c r="N130" i="1"/>
  <c r="N125" i="1"/>
  <c r="N117" i="1"/>
  <c r="N109" i="1"/>
  <c r="N91" i="1"/>
  <c r="N88" i="1"/>
  <c r="O88" i="1"/>
  <c r="N75" i="1"/>
  <c r="N72" i="1"/>
  <c r="O72" i="1"/>
  <c r="N59" i="1"/>
  <c r="N56" i="1"/>
  <c r="O56" i="1"/>
  <c r="N43" i="1"/>
  <c r="N40" i="1"/>
  <c r="O40" i="1"/>
  <c r="N24" i="1"/>
  <c r="O24" i="1"/>
  <c r="N164" i="1"/>
  <c r="O197" i="1"/>
  <c r="N148" i="1"/>
  <c r="O141" i="1"/>
  <c r="N132" i="1"/>
  <c r="N122" i="1"/>
  <c r="N114" i="1"/>
  <c r="N106" i="1"/>
  <c r="N97" i="1"/>
  <c r="N94" i="1"/>
  <c r="O94" i="1"/>
  <c r="N81" i="1"/>
  <c r="N78" i="1"/>
  <c r="O78" i="1"/>
  <c r="N65" i="1"/>
  <c r="N62" i="1"/>
  <c r="O62" i="1"/>
  <c r="N49" i="1"/>
  <c r="N46" i="1"/>
  <c r="O46" i="1"/>
  <c r="N30" i="1"/>
  <c r="O30" i="1"/>
  <c r="N14" i="1"/>
  <c r="O14" i="1"/>
  <c r="N166" i="1"/>
  <c r="N150" i="1"/>
  <c r="N134" i="1"/>
  <c r="N127" i="1"/>
  <c r="N119" i="1"/>
  <c r="N111" i="1"/>
  <c r="N103" i="1"/>
  <c r="N100" i="1"/>
  <c r="O100" i="1"/>
  <c r="N87" i="1"/>
  <c r="N84" i="1"/>
  <c r="O84" i="1"/>
  <c r="N71" i="1"/>
  <c r="N68" i="1"/>
  <c r="O68" i="1"/>
  <c r="N55" i="1"/>
  <c r="N52" i="1"/>
  <c r="O52" i="1"/>
  <c r="N36" i="1"/>
  <c r="O36" i="1"/>
  <c r="N20" i="1"/>
  <c r="O20" i="1"/>
  <c r="N90" i="1"/>
  <c r="O90" i="1"/>
  <c r="N74" i="1"/>
  <c r="O74" i="1"/>
  <c r="N58" i="1"/>
  <c r="O58" i="1"/>
  <c r="N42" i="1"/>
  <c r="O42" i="1"/>
  <c r="N26" i="1"/>
  <c r="O26" i="1"/>
  <c r="N10" i="1"/>
  <c r="O10" i="1"/>
  <c r="N96" i="1"/>
  <c r="O96" i="1"/>
  <c r="N80" i="1"/>
  <c r="O80" i="1"/>
  <c r="N64" i="1"/>
  <c r="O64" i="1"/>
  <c r="N51" i="1"/>
  <c r="N48" i="1"/>
  <c r="O48" i="1"/>
  <c r="N8" i="1"/>
  <c r="O8" i="1"/>
  <c r="N16" i="1"/>
  <c r="O16" i="1"/>
  <c r="N102" i="1"/>
  <c r="O102" i="1"/>
  <c r="N86" i="1"/>
  <c r="O86" i="1"/>
  <c r="N70" i="1"/>
  <c r="O70" i="1"/>
  <c r="N54" i="1"/>
  <c r="O54" i="1"/>
  <c r="N38" i="1"/>
  <c r="O38" i="1"/>
  <c r="N22" i="1"/>
  <c r="O22" i="1"/>
  <c r="O32" i="1"/>
  <c r="O5" i="1"/>
  <c r="N352" i="1"/>
  <c r="O352" i="1"/>
  <c r="O349" i="1"/>
  <c r="N344" i="1"/>
  <c r="O344" i="1"/>
  <c r="N338" i="1"/>
  <c r="O338" i="1"/>
  <c r="N322" i="1"/>
  <c r="O322" i="1"/>
  <c r="N306" i="1"/>
  <c r="O306" i="1"/>
  <c r="O354" i="1"/>
  <c r="N331" i="1"/>
  <c r="N328" i="1"/>
  <c r="O328" i="1"/>
  <c r="N315" i="1"/>
  <c r="N312" i="1"/>
  <c r="O312" i="1"/>
  <c r="N299" i="1"/>
  <c r="N296" i="1"/>
  <c r="N346" i="1"/>
  <c r="O346" i="1"/>
  <c r="N334" i="1"/>
  <c r="O334" i="1"/>
  <c r="N298" i="1"/>
  <c r="N318" i="1"/>
  <c r="O318" i="1"/>
  <c r="N302" i="1"/>
  <c r="O302" i="1"/>
  <c r="N308" i="1"/>
  <c r="O308" i="1"/>
  <c r="N314" i="1"/>
  <c r="O314" i="1"/>
  <c r="O355" i="1"/>
  <c r="N339" i="1"/>
  <c r="N336" i="1"/>
  <c r="O336" i="1"/>
  <c r="N323" i="1"/>
  <c r="N320" i="1"/>
  <c r="O320" i="1"/>
  <c r="N307" i="1"/>
  <c r="N304" i="1"/>
  <c r="O304" i="1"/>
  <c r="N340" i="1"/>
  <c r="O340" i="1"/>
  <c r="N324" i="1"/>
  <c r="O324" i="1"/>
  <c r="N348" i="1"/>
  <c r="O348" i="1"/>
  <c r="N330" i="1"/>
  <c r="O330" i="1"/>
  <c r="O397" i="1"/>
  <c r="O395" i="1"/>
  <c r="O393" i="1"/>
  <c r="O391" i="1"/>
  <c r="O389" i="1"/>
  <c r="O387" i="1"/>
  <c r="O385" i="1"/>
  <c r="O383" i="1"/>
  <c r="O381" i="1"/>
  <c r="O379" i="1"/>
  <c r="O377" i="1"/>
  <c r="O375" i="1"/>
  <c r="O373" i="1"/>
  <c r="O371" i="1"/>
  <c r="O369" i="1"/>
  <c r="O367" i="1"/>
  <c r="O365" i="1"/>
  <c r="O363" i="1"/>
  <c r="O361" i="1"/>
  <c r="O359" i="1"/>
  <c r="O357" i="1"/>
  <c r="N350" i="1"/>
  <c r="O350" i="1"/>
  <c r="O347" i="1"/>
  <c r="N342" i="1"/>
  <c r="O342" i="1"/>
  <c r="N329" i="1"/>
  <c r="N326" i="1"/>
  <c r="O326" i="1"/>
  <c r="N313" i="1"/>
  <c r="N310" i="1"/>
  <c r="O310" i="1"/>
  <c r="N297" i="1"/>
  <c r="N335" i="1"/>
  <c r="N332" i="1"/>
  <c r="O332" i="1"/>
  <c r="N319" i="1"/>
  <c r="N316" i="1"/>
  <c r="O316" i="1"/>
  <c r="N303" i="1"/>
  <c r="N300" i="1"/>
  <c r="O300" i="1"/>
  <c r="A6" i="2" l="1" a="1"/>
  <c r="A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<sst xmlns="http://schemas.openxmlformats.org/spreadsheetml/2006/main" count="1774" uniqueCount="1388">
  <si>
    <t>BASE DE DATOS DE CONVENIOS - CETPRO CAJAMARCA</t>
  </si>
  <si>
    <t>Registre un convenio por fila. Las columnas FECHA_FIN, DIAS_RESTANTES, ESTADO y CLAVE_BUSQUEDA se calculan automáticamente.</t>
  </si>
  <si>
    <t>ID_CONVENIO</t>
  </si>
  <si>
    <t>NRO_CONVENIO</t>
  </si>
  <si>
    <t>AÑO</t>
  </si>
  <si>
    <t>EMPRESA_INSTITUCION</t>
  </si>
  <si>
    <t>RUC</t>
  </si>
  <si>
    <t>DIRECCION</t>
  </si>
  <si>
    <t>REPRESENTANTE</t>
  </si>
  <si>
    <t>DNI_REPRESENTANTE</t>
  </si>
  <si>
    <t>TELEFONO</t>
  </si>
  <si>
    <t>PROGRAMA_FORMATIVO</t>
  </si>
  <si>
    <t>FECHA_INICIO</t>
  </si>
  <si>
    <t>DURACION_AÑOS</t>
  </si>
  <si>
    <t>FECHA_FIN</t>
  </si>
  <si>
    <t>DIAS_RESTANTES</t>
  </si>
  <si>
    <t>ESTADO</t>
  </si>
  <si>
    <t>CLAVE_BUSQUEDA</t>
  </si>
  <si>
    <t>CONV-2024-001</t>
  </si>
  <si>
    <t>MANTENIMIENTO INDUSTRIAL Y COMERCIAL SAC</t>
  </si>
  <si>
    <t>PASAJE BAZÁN N.° 185-187, CAJAMARCA</t>
  </si>
  <si>
    <t>ELMER VILCHEZ ROMERO</t>
  </si>
  <si>
    <t>BUSCADOR RÁPIDO DE CONVENIOS</t>
  </si>
  <si>
    <t>Ingrese RUC, empresa, representante, DNI, teléfono, N.° convenio o programa:</t>
  </si>
  <si>
    <t>SIN FECHA</t>
  </si>
  <si>
    <t>PROGRAMAS_FORMATIVOS</t>
  </si>
  <si>
    <t>ESTADOS</t>
  </si>
  <si>
    <t>TIPO_CONVENIO</t>
  </si>
  <si>
    <t>NOTAS</t>
  </si>
  <si>
    <t>VIGENTE</t>
  </si>
  <si>
    <t>Pasantía</t>
  </si>
  <si>
    <t>Use estas listas para completar datos de forma uniforme.</t>
  </si>
  <si>
    <t>POR VENCER</t>
  </si>
  <si>
    <t>Experiencias Formativas en Situaciones Reales de Trabajo</t>
  </si>
  <si>
    <t>VENCIDO</t>
  </si>
  <si>
    <t>Prácticas preprofesionales</t>
  </si>
  <si>
    <t>Convenio interinstitucional</t>
  </si>
  <si>
    <t>Convenio de cooperación</t>
  </si>
  <si>
    <t>INSTRUCCIONES</t>
  </si>
  <si>
    <t>1. Escriba el dato a buscar en la celda B3.</t>
  </si>
  <si>
    <t>2. Puede buscar por RUC, nombre de empresa, representante, DNI, número de convenio o programa.</t>
  </si>
  <si>
    <t>3. El resultado se filtra desde la columna CLAVE_BUSQUEDA de la hoja BD_CONVENIOS.</t>
  </si>
  <si>
    <t>4. Para agregar más convenios, complete las filas de BD_CONVENIOS. Las fórmulas ya están listas hasta la fila 25.</t>
  </si>
  <si>
    <t>5. Después podrá ampliar la tabla si necesita más filas.</t>
  </si>
  <si>
    <t>CONV-2024-002</t>
  </si>
  <si>
    <t xml:space="preserve">ATLANTICO H&amp;H LA SOCIEDAD COMERCIAL DE RESPONSABILIDAD ILIMITADA </t>
  </si>
  <si>
    <t>JR. 5 ESQUINAS 537</t>
  </si>
  <si>
    <t xml:space="preserve">VICTOR GIANCARLO HEREDIA </t>
  </si>
  <si>
    <t>PELUQUERIA CASTOPE MICHA</t>
  </si>
  <si>
    <t>JR. AMAZONAS 301</t>
  </si>
  <si>
    <t xml:space="preserve">MARTINEZ HERNANDEZ ROXANA ANITA </t>
  </si>
  <si>
    <t>CONV-2024-003</t>
  </si>
  <si>
    <t xml:space="preserve">S&amp;S SATELITE INGENIEROS </t>
  </si>
  <si>
    <t>JR. SULLANA 225</t>
  </si>
  <si>
    <t>JOSEP ABANTO ORTIZ</t>
  </si>
  <si>
    <t>BABY HOME "VALENTINAS"</t>
  </si>
  <si>
    <t>JR. 5 ESQUINAS 420</t>
  </si>
  <si>
    <t>DANA LOBATO DIAZ</t>
  </si>
  <si>
    <t>CONV-2024-009</t>
  </si>
  <si>
    <t>PELUQUERIAY OTROSTRATAMIENTOS DE BELLEZA "KALEED"</t>
  </si>
  <si>
    <t xml:space="preserve">JR. AMAZONA 213 </t>
  </si>
  <si>
    <t>ARCE SUAREZ CINTHYA DEL ROSARIO</t>
  </si>
  <si>
    <t>CONV-2024-010</t>
  </si>
  <si>
    <t xml:space="preserve">HATUNWASI </t>
  </si>
  <si>
    <t>JR. DESAMPARADOS 862</t>
  </si>
  <si>
    <t xml:space="preserve">CACHI CERNA AMALIA MERCEDES </t>
  </si>
  <si>
    <t>CONV-2024-011</t>
  </si>
  <si>
    <t>JACKY SALON &amp; SPA</t>
  </si>
  <si>
    <t>AV. SAN MARTIN 620</t>
  </si>
  <si>
    <t>ASENCIO DE LA CRUZ JACKELINE</t>
  </si>
  <si>
    <t>INGENIEROS EN TELECONICACIONES ELECTRONICOS Y SISTEMAS S.A.C</t>
  </si>
  <si>
    <t>AV. MARTINEZ DE UCHURACAY 1621</t>
  </si>
  <si>
    <t>VICTOR WILSON FLORES PEREZ</t>
  </si>
  <si>
    <t>CONV-2024-012</t>
  </si>
  <si>
    <t xml:space="preserve">PELUQUERIA-UNIIXEX REYHNE-SALON </t>
  </si>
  <si>
    <t>JR. ANGAMOS 207</t>
  </si>
  <si>
    <t xml:space="preserve">HERNANDEZ RIVERA NERIDA </t>
  </si>
  <si>
    <t>CONV-2024-013</t>
  </si>
  <si>
    <t>REY PALACE HOTEL SRL</t>
  </si>
  <si>
    <t>AV.HOYOS RUBIO 1190</t>
  </si>
  <si>
    <t xml:space="preserve">ENRIQUE ROJAS ALVA </t>
  </si>
  <si>
    <t>CONV-2024-014</t>
  </si>
  <si>
    <t>ANGELICA SUMARAN SALON &amp; SPA</t>
  </si>
  <si>
    <t xml:space="preserve">AV. SAN MARTIN DE PORRES  </t>
  </si>
  <si>
    <t>ZUMARAN CABELLOS ANGELICA MARIA</t>
  </si>
  <si>
    <t>CONV-2024-015</t>
  </si>
  <si>
    <t>CASTOPE</t>
  </si>
  <si>
    <t>JR. LOS GLADIOLOS 130</t>
  </si>
  <si>
    <t>CHAVEZ CUEVA IRMA KATERINE</t>
  </si>
  <si>
    <t>CONV-2024-018</t>
  </si>
  <si>
    <t xml:space="preserve">RESTAURANT LA MINA MARINA </t>
  </si>
  <si>
    <t>JR. SAN ROQUE 319</t>
  </si>
  <si>
    <t xml:space="preserve">RAMOS TAICA DIANA ISABEL </t>
  </si>
  <si>
    <t>CONV-2024-019</t>
  </si>
  <si>
    <t>NAVIERO CEVICHERIA MARBE CORP</t>
  </si>
  <si>
    <t>ARNALDO MARQUEZ 360</t>
  </si>
  <si>
    <t>CABANILLAS VALQUI WALTER</t>
  </si>
  <si>
    <t>CONV-2024-020</t>
  </si>
  <si>
    <t xml:space="preserve">ERIKA JULISSA SALON </t>
  </si>
  <si>
    <t>JR. AMAZONAS 209</t>
  </si>
  <si>
    <t xml:space="preserve">GARCIA MENDOZA ERIKA JULISSA </t>
  </si>
  <si>
    <t>CONV-2024-023</t>
  </si>
  <si>
    <t>LA EMPRESA I.E.P "REAL COLLEGE"</t>
  </si>
  <si>
    <t>JR.CARLOS MALPICA 265</t>
  </si>
  <si>
    <t xml:space="preserve">CELSO ENRIQUE AGUILAR ALIAGA </t>
  </si>
  <si>
    <t>CONV-2024-024</t>
  </si>
  <si>
    <t xml:space="preserve">GRATA LOMA SAC SUCURSAL CAJAMARCA </t>
  </si>
  <si>
    <t xml:space="preserve">JR.DIVINO REDENTOR 500 </t>
  </si>
  <si>
    <t xml:space="preserve">ING.JORGE ESCALANTE AGUILAR </t>
  </si>
  <si>
    <t>CONV-2024-025</t>
  </si>
  <si>
    <t xml:space="preserve">LA EMPRESA I.E.P 82001-SAN RAMON </t>
  </si>
  <si>
    <t>AV.13 DE JULIO</t>
  </si>
  <si>
    <t xml:space="preserve">SANTOS GUTIERREZ SILVA </t>
  </si>
  <si>
    <t>CONV-2024-026</t>
  </si>
  <si>
    <t xml:space="preserve">LA EMPRESA MONTECILLO CONSTRUCTORES </t>
  </si>
  <si>
    <t>AV.HOYOS RUBIO 1514</t>
  </si>
  <si>
    <t>ALFREDO CUEVA FLORES</t>
  </si>
  <si>
    <t>CONV-2024-028</t>
  </si>
  <si>
    <t>LA EMPRESA THE UPSCALE COMPANY SAC</t>
  </si>
  <si>
    <t>JR. EL COMERCIO 523</t>
  </si>
  <si>
    <t>BLANCA MADELI ACUÑA LARA</t>
  </si>
  <si>
    <t>CONV-2024-029</t>
  </si>
  <si>
    <t>LA EMPRESA SALES FORCE PERU SRL</t>
  </si>
  <si>
    <t>CARLOS ENRIQUE CHAMBERGORENTERIA</t>
  </si>
  <si>
    <t>CONV-2024-031</t>
  </si>
  <si>
    <t xml:space="preserve">MN SERVICIOS GENERALES E.I.R.L </t>
  </si>
  <si>
    <t>AV. LA PAZ 395</t>
  </si>
  <si>
    <t xml:space="preserve">PERCY SUAREZ MALCA </t>
  </si>
  <si>
    <t>CONV-2024-032</t>
  </si>
  <si>
    <t>LA EMPRESA D' MAY SPA</t>
  </si>
  <si>
    <t>PASAJE LOS LEONES D12</t>
  </si>
  <si>
    <t>ANA MAYLE GUEVARA FLORES</t>
  </si>
  <si>
    <t>CONV-2024-033</t>
  </si>
  <si>
    <t>LA EMPRESA SALON SPA "IMAGEN"</t>
  </si>
  <si>
    <t>JR. SILVA SANTIASTEBAN 953</t>
  </si>
  <si>
    <t>GISELLA LOJE JULCA</t>
  </si>
  <si>
    <t>CONV-2024-043</t>
  </si>
  <si>
    <t>ELA EMPRESA ANFRYD SALON &amp; ESTILOS</t>
  </si>
  <si>
    <t>JR. AMAZONAS 231</t>
  </si>
  <si>
    <t>NUÑEZ VALLEJOS YANETH DEICIY</t>
  </si>
  <si>
    <t>CONV-2024-044</t>
  </si>
  <si>
    <t>LA EMPRESA OXFORD LENGUAGE CENTER</t>
  </si>
  <si>
    <t>PASAJE CUMULCA 154</t>
  </si>
  <si>
    <t>DANTE RODRIGUEZ LESCANO</t>
  </si>
  <si>
    <t xml:space="preserve">LA I.E ZOILA AURORA DE SANCHEZ LA TORRE </t>
  </si>
  <si>
    <t>OTUZCO KM. 2.5</t>
  </si>
  <si>
    <t xml:space="preserve">ANTONIO LEON QUISPE </t>
  </si>
  <si>
    <t>CONV-2024-045</t>
  </si>
  <si>
    <t xml:space="preserve">LA EMPRESA LOGISTICA Y SERVICIOS </t>
  </si>
  <si>
    <t>JR. JOSE SABOGAL 1029</t>
  </si>
  <si>
    <t xml:space="preserve">CIRO EDGAR HUAIRE DE LA CRUZ </t>
  </si>
  <si>
    <t>CONV-2024-048</t>
  </si>
  <si>
    <t>LA EMPRESA VICTORIA'S CAFÉ</t>
  </si>
  <si>
    <t>JR. BUGANVILLAS 112</t>
  </si>
  <si>
    <t>MARLENY LUNA DE LA CRUZ</t>
  </si>
  <si>
    <t>CONV-2024-049</t>
  </si>
  <si>
    <t>LA I.E. VIRGEN DE LA NATIVIDAD 82040</t>
  </si>
  <si>
    <t>CALLE ALIAGA S/N</t>
  </si>
  <si>
    <t xml:space="preserve">BALBINA SANTOS BAZAN ARCE </t>
  </si>
  <si>
    <t>CONV-2024-054</t>
  </si>
  <si>
    <t>LOS SPA OLIVOS</t>
  </si>
  <si>
    <t>JR.TARAPACA 836</t>
  </si>
  <si>
    <t>DOMINGO ANTONIO AGÜERO OLIVOS</t>
  </si>
  <si>
    <t>CONV-2024-056</t>
  </si>
  <si>
    <t xml:space="preserve">F&amp;C CABANILLAS </t>
  </si>
  <si>
    <t>JR.TARAPACA 935</t>
  </si>
  <si>
    <t>JUAN FERNANDO CABANILLAS ALVARES</t>
  </si>
  <si>
    <t>CONV-2024-057</t>
  </si>
  <si>
    <t>EL SPA-"FABEL ESTILISTA"</t>
  </si>
  <si>
    <t>AV.ATAHUALPA 195</t>
  </si>
  <si>
    <t>ENRIQUE VILLA OCAS</t>
  </si>
  <si>
    <t>CONV-2024-058</t>
  </si>
  <si>
    <t>SMITH BARBER SHOP</t>
  </si>
  <si>
    <t>AV-MANCO CAPAC 784</t>
  </si>
  <si>
    <t>CORTES BARDALES , SAMUEL ALCIADES</t>
  </si>
  <si>
    <t>CONV-2024-060</t>
  </si>
  <si>
    <t>LA MUNICIPALIDAD DISTRITAL DE JESUS</t>
  </si>
  <si>
    <t>MIGUEL GRAU 706</t>
  </si>
  <si>
    <t>AUGUSTO JHON SMITH ÑONTOL</t>
  </si>
  <si>
    <t>CONV-2024-061</t>
  </si>
  <si>
    <t>LA EMPRESA VIOLETT SPA</t>
  </si>
  <si>
    <t>PASAJE CUMULCA B-13</t>
  </si>
  <si>
    <t>SAHIRA LORELEY ROJAS CALAMPA</t>
  </si>
  <si>
    <t>CONV-2024-161</t>
  </si>
  <si>
    <t>B&amp;D MARTOS EIRL</t>
  </si>
  <si>
    <t>AV.VIA DE EVITAMIENTO SUR 2543</t>
  </si>
  <si>
    <t>LENNEN RAMIRO MARTOS MARIN</t>
  </si>
  <si>
    <t>CONV-2024-063</t>
  </si>
  <si>
    <t>CREACIONES AYUMI</t>
  </si>
  <si>
    <t>JR.AMAZONAS 213</t>
  </si>
  <si>
    <t xml:space="preserve">MILAGROS RAMOS SALDAÑA </t>
  </si>
  <si>
    <t>CONV-2024-067</t>
  </si>
  <si>
    <t>ASESORIA Y CONSULTORIA FYH</t>
  </si>
  <si>
    <t>CHABUCA GRANDA 515</t>
  </si>
  <si>
    <t>JORGE LUIS RAMOS DAVILA</t>
  </si>
  <si>
    <t>CONV-2024-068</t>
  </si>
  <si>
    <t>LA EMPRESA PATTY BEAUTY SALON SPA E.I.R</t>
  </si>
  <si>
    <t>ALAMEDA LA CHONTA 365</t>
  </si>
  <si>
    <t>PATRICIA CASTOPE CHUNQUE</t>
  </si>
  <si>
    <t>CONV-2024-069</t>
  </si>
  <si>
    <t>LA EMPRESA CAR 91 BARBER SHOP</t>
  </si>
  <si>
    <t>JR.AMANCAES C-7  770</t>
  </si>
  <si>
    <t>ALEJANDRO VALDIVIA MINCHAN</t>
  </si>
  <si>
    <t>CONV-2024-070</t>
  </si>
  <si>
    <t>EL SALON Y SPA ROXI</t>
  </si>
  <si>
    <t>JR.LEGUIA Y CHANCHAMAYO 289</t>
  </si>
  <si>
    <t>ROSA MIRELLA PITA VASQUEZ</t>
  </si>
  <si>
    <t>CONV-2024-071</t>
  </si>
  <si>
    <t>EL SALON Y SPA LUZ DE IMAGEN</t>
  </si>
  <si>
    <t>JR.JEQUETEPEQUE 118</t>
  </si>
  <si>
    <t>MARCO ANTONIO VILLANUEVA ARANA</t>
  </si>
  <si>
    <t>CONV-2024-74</t>
  </si>
  <si>
    <t>RESTAURANT LA CASCADA</t>
  </si>
  <si>
    <t>JR.AMAZONAS 781</t>
  </si>
  <si>
    <t>JORGE LUIS LLAQUE LOPEZ</t>
  </si>
  <si>
    <t>CONV-2024-75</t>
  </si>
  <si>
    <t>INVERSIONES MAT USAC</t>
  </si>
  <si>
    <t>JR.COMERCIO 644</t>
  </si>
  <si>
    <t>EDUARDO ALFONSO MATTO GUARDIA</t>
  </si>
  <si>
    <t>CONV-2024-77</t>
  </si>
  <si>
    <t>EL RESTAURANT POLLOS Y PARRILLAS DONDE HERNAN E.I.R.L</t>
  </si>
  <si>
    <t>VIA DE AVITAMIENTO NORTE 2455</t>
  </si>
  <si>
    <t>HERNAN MARIN ESTELA LOPEZ</t>
  </si>
  <si>
    <t>CONV-2024-79</t>
  </si>
  <si>
    <t>EL RESTAURANT JIIJUNA GOURMET SRL</t>
  </si>
  <si>
    <t>JR. EDUARDO RODRIGUEZ 206</t>
  </si>
  <si>
    <t>CRISTIAN JAVIER GUTIERREZ</t>
  </si>
  <si>
    <t>CONV-2024-81</t>
  </si>
  <si>
    <t>ERLY' S SALON &amp; SPA</t>
  </si>
  <si>
    <t>JR. AMAZONAS 203</t>
  </si>
  <si>
    <t>PITA VASQUEZ OSCAR</t>
  </si>
  <si>
    <t>CONV-2024-83</t>
  </si>
  <si>
    <t>LA PANADERIA Y PASTELERIA BENJAFRUTI</t>
  </si>
  <si>
    <t>JR. HUANCAVELICA Y SAN JORGE</t>
  </si>
  <si>
    <t>LUIS MUÑOS RIOS</t>
  </si>
  <si>
    <t>CONV-2024-84</t>
  </si>
  <si>
    <t>LA PANDERIA Y PASTERIA D'.CATA</t>
  </si>
  <si>
    <t>JR. DOS DE MAYO 800</t>
  </si>
  <si>
    <t>LORGE LUIS MANOSALVA MEJIA</t>
  </si>
  <si>
    <t>CONV-2024-85</t>
  </si>
  <si>
    <t>N&amp;E STORE</t>
  </si>
  <si>
    <t>PRO CINCO ESQUINAS, MZ.E.LOTE 36</t>
  </si>
  <si>
    <t xml:space="preserve">CACHI LINARES CRISTOPHER ALEJANDRO </t>
  </si>
  <si>
    <t>CONV-2024-88</t>
  </si>
  <si>
    <t>LA PANADERIA Y PASTELERIA DURANT</t>
  </si>
  <si>
    <t>AV.HOYOS RUBIO 1198</t>
  </si>
  <si>
    <t>ROSARIO DURANT LUCANO</t>
  </si>
  <si>
    <t>CONV-2024-93</t>
  </si>
  <si>
    <t>SUMAK SALON</t>
  </si>
  <si>
    <t>CENTRO COMERCIAL EL QUINDE 2DO NIVEL 415-417</t>
  </si>
  <si>
    <t>WUALTER CHAVARRY URTEAGA</t>
  </si>
  <si>
    <t>CONV-2024-95</t>
  </si>
  <si>
    <t>HABANA BARBERIA &amp; SALON</t>
  </si>
  <si>
    <t>AV.RAFAEL HOYOS RUBIOS 896</t>
  </si>
  <si>
    <t>SEGURA GUARNIZ PERCY</t>
  </si>
  <si>
    <t>CONV-2024-96</t>
  </si>
  <si>
    <t>ALISSANDRA BEAUTY STUDIO EIRL</t>
  </si>
  <si>
    <t>JR.EL COMERCIO 932</t>
  </si>
  <si>
    <t>ALESSANDRA CHICHIZOLA AGUINAGA</t>
  </si>
  <si>
    <t>CONV-2024-97</t>
  </si>
  <si>
    <t>LUAY NAIL SALON SPA</t>
  </si>
  <si>
    <t>JR.AMAZONAS 207</t>
  </si>
  <si>
    <t>LUCI AIMEE CENTURION LOPEZ</t>
  </si>
  <si>
    <t>CONV-2024-98</t>
  </si>
  <si>
    <t xml:space="preserve">MAVA ESTILOS &amp; SPS </t>
  </si>
  <si>
    <t>JR.GUILLERMO URRELO 1042</t>
  </si>
  <si>
    <t>MARIA LUISA ALEJOS MORALES</t>
  </si>
  <si>
    <t>CONV-2024-100</t>
  </si>
  <si>
    <t>SPA PURITA BELLEZA EIRL</t>
  </si>
  <si>
    <t>MONICA RAQUEL ROJAS CHAVEZ</t>
  </si>
  <si>
    <t>CONV-2024-101</t>
  </si>
  <si>
    <t>FER BARBER SHOP</t>
  </si>
  <si>
    <t>JR.AMAZONAS 246</t>
  </si>
  <si>
    <t>LUIS FERNANDO CULQUI GUTIERREZ</t>
  </si>
  <si>
    <t>CONV-2024-102</t>
  </si>
  <si>
    <t>MELISSA SPA</t>
  </si>
  <si>
    <t>JR.UNION A -1-URB</t>
  </si>
  <si>
    <t>MELISSA PEREZ</t>
  </si>
  <si>
    <t>CONV-2024-104</t>
  </si>
  <si>
    <t>I.E "HNO MIGUEL CARDUCCI RIPIANI"</t>
  </si>
  <si>
    <t>JR.MIGUEL CARDUCCI RIPIANI 218</t>
  </si>
  <si>
    <t>MG.VENTURA VARGAS LEOLIS M</t>
  </si>
  <si>
    <t xml:space="preserve"> CONV-2024-106</t>
  </si>
  <si>
    <t>ESTACION DE SERVICIOS MARYFE S.R.L</t>
  </si>
  <si>
    <t>AV.PRINCIPAL VENTANILLAS DE OTUZCO-RINCONADA DE OTUZCO</t>
  </si>
  <si>
    <t>WILSON HUAMAN RUDAS</t>
  </si>
  <si>
    <t>CONV-2024-108</t>
  </si>
  <si>
    <t>JEHBN EIR</t>
  </si>
  <si>
    <t>AV.EVITAMIENTO 610</t>
  </si>
  <si>
    <t>JHON EDY HUAMAN BAUTISTA</t>
  </si>
  <si>
    <t>CONV-2024-109</t>
  </si>
  <si>
    <t>MEGAVISION CANAL 45</t>
  </si>
  <si>
    <t>PASAJE ARGENTINA 136</t>
  </si>
  <si>
    <t>GONZALO VALERA LEAL</t>
  </si>
  <si>
    <t>CONV-2024-110</t>
  </si>
  <si>
    <t>LA I.E.P ALTAIR-CJAMARCA</t>
  </si>
  <si>
    <t>AV.HOYOS RUBIOS 1317</t>
  </si>
  <si>
    <t>CINTHIA VELASQUEZ LOPEZ</t>
  </si>
  <si>
    <t>CONV-2024-113</t>
  </si>
  <si>
    <t>SALON &amp; SPA VERONICA</t>
  </si>
  <si>
    <t>JR.TARAPACA 113</t>
  </si>
  <si>
    <t>VERONICA MEDINA ABANTO</t>
  </si>
  <si>
    <t>CONV-2024-114</t>
  </si>
  <si>
    <t>GRUPO HEREDIA JERIEIRL</t>
  </si>
  <si>
    <t>JR.MIGUEL IGLESIAS 871</t>
  </si>
  <si>
    <t>JERI VALENCIA LILIAN ELIZABETH</t>
  </si>
  <si>
    <t>CONV-2024-116</t>
  </si>
  <si>
    <t>LA EMPRESA FORESFRUCTICOLA JM.</t>
  </si>
  <si>
    <t>AV.ATAHUALPA 1214</t>
  </si>
  <si>
    <t>ING.JAIME URIBE MINCHAN ARRIBASPLATA</t>
  </si>
  <si>
    <t>CONV-2024-117</t>
  </si>
  <si>
    <t>LA FEMME AMOR POR TI S.R.L</t>
  </si>
  <si>
    <t>JR.MARIANO MELGAR 210</t>
  </si>
  <si>
    <t>LIZETH MARDELY CORVERA FIGUEROA</t>
  </si>
  <si>
    <t>CONV-2024-118</t>
  </si>
  <si>
    <t>I.E IRENE SILVA DE SANTOLALLA-CEBA</t>
  </si>
  <si>
    <t>HUANBOCANCHA ALTA.KM.6.2.</t>
  </si>
  <si>
    <t>CLODOMIRO VASQUEZ REQUEJO</t>
  </si>
  <si>
    <t>CONV-2024-119</t>
  </si>
  <si>
    <t>LA UNIVERCIDAD NACIONAL DE CAJAMARCA</t>
  </si>
  <si>
    <t>AV.ATAHUALPA 1050</t>
  </si>
  <si>
    <t>IVAN ALEJANDRO LEON CASTRO</t>
  </si>
  <si>
    <t>CONV-2024-120</t>
  </si>
  <si>
    <t>SERVICIOS GENERALES ELECTROCENTER EIRL</t>
  </si>
  <si>
    <t>AV.SAN MARTIN 1750</t>
  </si>
  <si>
    <t>MARCELINO SALINAS VASQUEZ</t>
  </si>
  <si>
    <t>CONV-2024-121</t>
  </si>
  <si>
    <t>CONFECCIONES MARIA</t>
  </si>
  <si>
    <t>JR.CHANCAMAYO 125</t>
  </si>
  <si>
    <t>MARIA TAFUR HERRERA</t>
  </si>
  <si>
    <t>CONV-2024-122</t>
  </si>
  <si>
    <t>BARBERIA SALON VUEVO LOOK</t>
  </si>
  <si>
    <t>JR.ANGAMOS 657</t>
  </si>
  <si>
    <t>TINGAL ZAMBRANO HILDA</t>
  </si>
  <si>
    <t>CONV-2024-123</t>
  </si>
  <si>
    <t>ADARA ESTETICA INTEGRAL</t>
  </si>
  <si>
    <t>JR.AMALIA PUGA 291</t>
  </si>
  <si>
    <t>NATALY MEDINA ORTEGA</t>
  </si>
  <si>
    <t>CONV-2024-124</t>
  </si>
  <si>
    <t>BEE NETWORK SAC</t>
  </si>
  <si>
    <t>AV.HOYOS RUBIO 1108</t>
  </si>
  <si>
    <t>CHAVEZ BRAVO JORGE EDSON</t>
  </si>
  <si>
    <t>CONV-2024-126</t>
  </si>
  <si>
    <t>FOTOCOPIADOS OSCAR</t>
  </si>
  <si>
    <t>JR.DOS DE MAYO 676</t>
  </si>
  <si>
    <t>OSCAR DARIO ROJAS MUÑOZ</t>
  </si>
  <si>
    <t>CONV- 2024-127</t>
  </si>
  <si>
    <t xml:space="preserve">SALON SPA STILOS MARY </t>
  </si>
  <si>
    <t>JR.LOS GLADIOLOS 137</t>
  </si>
  <si>
    <t>MARIA ELENA TAPIA BUSTAMANTE</t>
  </si>
  <si>
    <t>CONV-2024-128</t>
  </si>
  <si>
    <t>FRI.TO RESTAURANTE</t>
  </si>
  <si>
    <t>JR.EL COMERCIO 948</t>
  </si>
  <si>
    <t>MARIA DE LOS ANGELES HERNANDEZ SAAVEDRA</t>
  </si>
  <si>
    <t>CONV-2024-129</t>
  </si>
  <si>
    <t>MARIBEL SPA</t>
  </si>
  <si>
    <t>JR.TAYABAMBA 156</t>
  </si>
  <si>
    <t>OLINDA MARIBEL OCON MONCADA</t>
  </si>
  <si>
    <t>CONV-2024-130</t>
  </si>
  <si>
    <t>RESTAURANTE MULTADO ANTICUCHERO</t>
  </si>
  <si>
    <t>JR.PAUL RIVET 138</t>
  </si>
  <si>
    <t>ROBERTO LAZARTE PONCE</t>
  </si>
  <si>
    <t>CONV-2024-131</t>
  </si>
  <si>
    <t>BURGERS G&amp;M</t>
  </si>
  <si>
    <t>JR.PAUL RIVET 209</t>
  </si>
  <si>
    <t>MATILDE LLOVERA SANCHEZ</t>
  </si>
  <si>
    <t>CONV-2024-136</t>
  </si>
  <si>
    <t>I.E.HNO. VICTORINOELORZ GOICOCHEA</t>
  </si>
  <si>
    <t>1627041-PRIMARIA-1621058-SEGUNDARIA</t>
  </si>
  <si>
    <t>JR.GUADALUPE 178</t>
  </si>
  <si>
    <t>PROF.EVER LINCOL ARRIBASPLATA SANCHEZ</t>
  </si>
  <si>
    <t>CONV-2024-137</t>
  </si>
  <si>
    <t>LA EMPRESA JEHOVA ES MI PASTOR</t>
  </si>
  <si>
    <t>JR.IRENE SILVA 141</t>
  </si>
  <si>
    <t>SEGUNDO GUMERCINDO ALVARADO VILLANUEVA</t>
  </si>
  <si>
    <t>CONV-2024-138</t>
  </si>
  <si>
    <t>COPYCENTRO</t>
  </si>
  <si>
    <t>JR.DEL COMERCIO 625</t>
  </si>
  <si>
    <t>MONTOYA HUAMAN PATRICIA ERIKA</t>
  </si>
  <si>
    <t>CONV-2024-140</t>
  </si>
  <si>
    <t>MRN ODONTOLOGIA EIRL</t>
  </si>
  <si>
    <t>MANCO CAPAC 183</t>
  </si>
  <si>
    <t>MARIELA DEL PILAR RODRIGUEZ NUREÑA</t>
  </si>
  <si>
    <t>CONV-2024-141</t>
  </si>
  <si>
    <t>LA NORIA RECREO CAMPESTRE</t>
  </si>
  <si>
    <t>CARRETERA OTUZCO KM 5.5</t>
  </si>
  <si>
    <t>MARIA DE MAR MUJICA HUAMAN</t>
  </si>
  <si>
    <t>CONV-2024-142</t>
  </si>
  <si>
    <t>DOMINO 20 BARBER STUDIO</t>
  </si>
  <si>
    <t>AV.VIA DE EVITAMIENTO NORTE 696</t>
  </si>
  <si>
    <t>CABADA ALCAS ALESSANDRA</t>
  </si>
  <si>
    <t>CONV-2024-143</t>
  </si>
  <si>
    <t>I.C CONTRATISTAS SRL</t>
  </si>
  <si>
    <t>JR.COLLASUYO 114</t>
  </si>
  <si>
    <t xml:space="preserve">INOCENTE CASTILLO HUAMAN </t>
  </si>
  <si>
    <t>CONV-2024-144</t>
  </si>
  <si>
    <t>HOTEL SOL DE BELEN EIRL</t>
  </si>
  <si>
    <t>JR.BELEN 636</t>
  </si>
  <si>
    <t>JOSE MANUEL ROJAS VILLAR</t>
  </si>
  <si>
    <t>CONV-2024-145</t>
  </si>
  <si>
    <t>VIOLETA DIAS SALON &amp;SPA</t>
  </si>
  <si>
    <t>JR.SAN SALVADOR 697</t>
  </si>
  <si>
    <t>MARIA VIOLETA DIAS CABRERA</t>
  </si>
  <si>
    <t>CONV-2024-146</t>
  </si>
  <si>
    <t>CENTRO DE ESTETICA ROSSY</t>
  </si>
  <si>
    <t>AV.INDEPENDENCIA 170</t>
  </si>
  <si>
    <t>ROSELA RAMOS ALTAMIRANO</t>
  </si>
  <si>
    <t>CONV-2024-147</t>
  </si>
  <si>
    <t>SALON M&amp;A</t>
  </si>
  <si>
    <t xml:space="preserve">JR.LOS ANDES 205 BARRIO SAN MARTIN </t>
  </si>
  <si>
    <t xml:space="preserve">MARLENY VARGAS CHALAN </t>
  </si>
  <si>
    <t>CONV-2024-148</t>
  </si>
  <si>
    <t>DIALU MEJIA</t>
  </si>
  <si>
    <t>JR.ANGAMOS 251</t>
  </si>
  <si>
    <t>YANETH DIALU MEJIA GALVEZ</t>
  </si>
  <si>
    <t>CONV-2024-150</t>
  </si>
  <si>
    <t>SALON DE BELLEZA KAREN</t>
  </si>
  <si>
    <t>JR. AMAZONAS 207</t>
  </si>
  <si>
    <t>KAREN PAOLA TORIBIO CUEVA</t>
  </si>
  <si>
    <t>CONV-2024-151</t>
  </si>
  <si>
    <t>DIVA TRASN EXPRESS E.I.R.L</t>
  </si>
  <si>
    <t>JR.MIGUEL IGLESIAS 715</t>
  </si>
  <si>
    <t>PEDRO VALDEZ CALUA</t>
  </si>
  <si>
    <t>CONV-2024-152</t>
  </si>
  <si>
    <t>CORPORACIÓN F&amp;K SAC</t>
  </si>
  <si>
    <t>AV.VIA EVITAMIENTO NORTE 2588</t>
  </si>
  <si>
    <t>VILLANUEVA VASQUEZ FIORELA LIZBETH</t>
  </si>
  <si>
    <t>CONV-2024-153</t>
  </si>
  <si>
    <t xml:space="preserve">CORPORACION SAJ &amp; CUM INGENIERIA SOCIEDAD COMERCIAL DE RESPONSABILIDAD LIMITADA </t>
  </si>
  <si>
    <t>TARTAR GRANDE. BAÑOS DEL INCA</t>
  </si>
  <si>
    <t xml:space="preserve">SANDOVAL MANTILLA JOSE VALENTIN </t>
  </si>
  <si>
    <t>CONV-2024-155</t>
  </si>
  <si>
    <t xml:space="preserve">POSEIDON CAMPESTRE SOCIEDAD ANONIMA CERRADA </t>
  </si>
  <si>
    <t xml:space="preserve">PROLONGACION AYACUCHO S/N URB. SAN ANTONIO </t>
  </si>
  <si>
    <t xml:space="preserve">EDWARD LUJAN ZAVALETA </t>
  </si>
  <si>
    <t>CONV-2024-156</t>
  </si>
  <si>
    <t>LA I.E.P YACHAYWASI</t>
  </si>
  <si>
    <t>JR.EMANCIPADORES MZA.T LOTE 1O LOT. SAN MARTIN DE PORRES</t>
  </si>
  <si>
    <t>NEREYDA JUDITH DIAZ ROJAS</t>
  </si>
  <si>
    <t>CONV-2024-157</t>
  </si>
  <si>
    <t>LA EMPRESA AJAW SERVICIOS EIRL</t>
  </si>
  <si>
    <t xml:space="preserve">AV.VIA DE EVITAMIENTO NORTE 300 URB. LA ALMEDA </t>
  </si>
  <si>
    <t>LUIS ENRIQUE VASQUEZ RODRIGUEZ</t>
  </si>
  <si>
    <t>CONV-2024-158</t>
  </si>
  <si>
    <t>AV. ATAHUALPA 1050</t>
  </si>
  <si>
    <t>MANUEL SALOMON RONCAL ORDOÑEZ</t>
  </si>
  <si>
    <t>CONV-2024-159</t>
  </si>
  <si>
    <t>LA EMPRESA KAPHIY PERU S.R.L</t>
  </si>
  <si>
    <t xml:space="preserve">JR. AYACUCHO 920 URB. LA COLMENA </t>
  </si>
  <si>
    <t xml:space="preserve">ALEXIS JOSE DEXTRE BARRANTES </t>
  </si>
  <si>
    <t>CONV-2024-160</t>
  </si>
  <si>
    <t>ATREVETE MERSACH SALON &amp; SPA</t>
  </si>
  <si>
    <t>ANDRES ZEVALLOS 2264 FRENTE A REAL PLAZA</t>
  </si>
  <si>
    <t>MERCEDES SANCHEZ CHAVEZ</t>
  </si>
  <si>
    <t>CONV-2025-001</t>
  </si>
  <si>
    <t>SUPPLIER G.C. E.I.R.L</t>
  </si>
  <si>
    <t>AV.VIA DE EVITAMIENTO 2250</t>
  </si>
  <si>
    <t>GUSTAVO CARRASCO VICTORIAL</t>
  </si>
  <si>
    <t>CONV-2025-002</t>
  </si>
  <si>
    <t>VANIDOSAS SALÓN DE BELLEZA</t>
  </si>
  <si>
    <t>JR.RAMIRO LEÓN URBINA- MANZANA O,LOTE 10</t>
  </si>
  <si>
    <t>VANIA CARLOTA ARROYO CARDOSA</t>
  </si>
  <si>
    <t>CONV-2025-003</t>
  </si>
  <si>
    <t>FOGÓN DORADO 2</t>
  </si>
  <si>
    <t>JR.AMALIA PUGA 821</t>
  </si>
  <si>
    <t>OSMAR WAGNER DIAZ PAREDES</t>
  </si>
  <si>
    <t>COCINA</t>
  </si>
  <si>
    <t>CONV-2025-005</t>
  </si>
  <si>
    <t>NUEVO FOGÓN DORADO</t>
  </si>
  <si>
    <t>JR.AMALIA PUGA 418</t>
  </si>
  <si>
    <t xml:space="preserve">EUSEBIO DIAZ LOPEZ </t>
  </si>
  <si>
    <t>CONV-2025-006</t>
  </si>
  <si>
    <t>FOGÓN DORADO 1</t>
  </si>
  <si>
    <t>AV.HOYOS RUBIO 486</t>
  </si>
  <si>
    <t>BELISSA VALERIA PAREDES QUIJANDRIA</t>
  </si>
  <si>
    <t>CONV-2025-007</t>
  </si>
  <si>
    <t>PANADERIA MENDOZA</t>
  </si>
  <si>
    <t>JR.AYACUCHO 1301</t>
  </si>
  <si>
    <t>ROSA EDITA MENDOZA PRADO</t>
  </si>
  <si>
    <t>CONV.2025-008</t>
  </si>
  <si>
    <t>GIMNASIO STEFANOS GYM</t>
  </si>
  <si>
    <t>URB. CAMPO REAL- MZ.N LT.3</t>
  </si>
  <si>
    <t>NILTON RAÚL GUZMAN ROMERO</t>
  </si>
  <si>
    <t>CONV-2025-009</t>
  </si>
  <si>
    <t>MONNA BEAUTY STUDIO</t>
  </si>
  <si>
    <t>JR.DOS DE MAYO 217</t>
  </si>
  <si>
    <t>NATALY ARACELLI CERQUIN PÉÑA</t>
  </si>
  <si>
    <t>ESTILISMO</t>
  </si>
  <si>
    <t>CONV-2025-010</t>
  </si>
  <si>
    <t>MEGABYTE HD CAJAMARCA E.I.R.L</t>
  </si>
  <si>
    <t>JR.AMALIA PUGA 1019</t>
  </si>
  <si>
    <t>LUZ ELENA VILCHEZ CARRASCO</t>
  </si>
  <si>
    <t>CONV-2025-011</t>
  </si>
  <si>
    <t>FABRICACIONES Y SERVICIOS ELECTRO ELECTRONICOS S.A.C</t>
  </si>
  <si>
    <t>AV.JUAN MIGUEL ROSSE MZ C LOTE 3 SANTA BARBARA</t>
  </si>
  <si>
    <t>DANIEL AGUILAR BAUTISTA</t>
  </si>
  <si>
    <t>CONV-2025-012</t>
  </si>
  <si>
    <t>INNOVA TECNOLOGÍA DE INFORMACIÓN S.R.L.</t>
  </si>
  <si>
    <t xml:space="preserve">CAJAMARCA </t>
  </si>
  <si>
    <t>CARLOS GONZALO PAJARES MIRANDA</t>
  </si>
  <si>
    <t>CONV-2025-013</t>
  </si>
  <si>
    <t xml:space="preserve">CREATING CORPORATION SAC </t>
  </si>
  <si>
    <t>JR.MARIANO MELGAR 138 -PISO 4</t>
  </si>
  <si>
    <t>JOSIAS CAMPOS GUERRERO</t>
  </si>
  <si>
    <t>CONV-2025-014</t>
  </si>
  <si>
    <t>TIKINTI SRL</t>
  </si>
  <si>
    <t>AV.SAN MARTÍN 1311</t>
  </si>
  <si>
    <t>GENNER RABANAL IBAÑEZ</t>
  </si>
  <si>
    <t>TOPOGRAFÍA</t>
  </si>
  <si>
    <t>CONV-2025-015</t>
  </si>
  <si>
    <t xml:space="preserve">BLOOM SPA PERÚ </t>
  </si>
  <si>
    <t>JR.MANUEL SEOANE 659</t>
  </si>
  <si>
    <t xml:space="preserve">JHULIANA VANESA URQUIZO CHÁVEZ </t>
  </si>
  <si>
    <t>CONV-2025-016</t>
  </si>
  <si>
    <t xml:space="preserve">EXPANSION SALES MANAGEMENT S.A.C </t>
  </si>
  <si>
    <t>JR.EL COMERCIO 523</t>
  </si>
  <si>
    <t xml:space="preserve">BLANCA MADELI ACUÑA LARA </t>
  </si>
  <si>
    <t>CONV-2025-017</t>
  </si>
  <si>
    <t>JIREN SERVICES EIRL</t>
  </si>
  <si>
    <t xml:space="preserve">URB.BELLAVISTA </t>
  </si>
  <si>
    <t xml:space="preserve">JHONY JHONN ACEVEDO ANDRES </t>
  </si>
  <si>
    <t>CONV-2025-018</t>
  </si>
  <si>
    <t xml:space="preserve">PATMER PERU S.A.C </t>
  </si>
  <si>
    <t>JR.GUILLERMO URRELO N°438</t>
  </si>
  <si>
    <t>MARTINA ARTIAGA HUAMAN</t>
  </si>
  <si>
    <t>CONV-2025-019</t>
  </si>
  <si>
    <t>JUCASA SERVICIOS GENERALES E.I.R.L</t>
  </si>
  <si>
    <t>JR.SANTA MARÍA N°298</t>
  </si>
  <si>
    <t xml:space="preserve">GILBERTO PAISIG BARDALES </t>
  </si>
  <si>
    <t>CONV-2025-020</t>
  </si>
  <si>
    <t>COMO EN CASA FOOD &amp; GRILL E.I.R.L</t>
  </si>
  <si>
    <t>JR.REVILLA PEREZ N°419</t>
  </si>
  <si>
    <t xml:space="preserve">LEONOR BEATRIZ ALVARDO LLANOS </t>
  </si>
  <si>
    <t>CONV-2025-021</t>
  </si>
  <si>
    <t>I.E.N° 82195</t>
  </si>
  <si>
    <t>PALTURO DISTRITO DE JESÚS</t>
  </si>
  <si>
    <t>RICARDO DAVID CRUZ ARÉVALO</t>
  </si>
  <si>
    <t>CONV-2025-022</t>
  </si>
  <si>
    <t>IMPORTADORA Y DISTRIBUIDORA LA CASA DEL FIERRO EIRL</t>
  </si>
  <si>
    <t>AV.HOYOS RUBIO N°1739</t>
  </si>
  <si>
    <t>HAYDEE MUÑOZ SANCHEZ</t>
  </si>
  <si>
    <t>CONV-2025-023</t>
  </si>
  <si>
    <t>PILANCONES FERRETERIA Y SERVICIOS GENERALES E.I.R.L</t>
  </si>
  <si>
    <t>AV.MOYOCOCHA MZA. C4 BAR.LA MOLINA</t>
  </si>
  <si>
    <t>BAGNER QUISPE DELGADO</t>
  </si>
  <si>
    <t>CONV-2025-024</t>
  </si>
  <si>
    <t>FERRETERIA EL SOL SRL</t>
  </si>
  <si>
    <t>AV.VIA DE EVITAMIENTO NORTE N° 1188</t>
  </si>
  <si>
    <t>NICOLÁS CHUGNAS MOSQUEIRA</t>
  </si>
  <si>
    <t>CONV-2025-025</t>
  </si>
  <si>
    <t>GRUPO MI CASA M Y M</t>
  </si>
  <si>
    <t>AV.HOYOS RUBIO N°1384</t>
  </si>
  <si>
    <t>MIRIAM ROSA CASTILLO CABRERA</t>
  </si>
  <si>
    <t>CONV-2025-026</t>
  </si>
  <si>
    <t>CAR ALDEA SAN ANTONIO</t>
  </si>
  <si>
    <t>AV.HOYOS RUBIO N°907</t>
  </si>
  <si>
    <t>ROSITA LIZ ALCÁNTARA LÓPEZ</t>
  </si>
  <si>
    <t>CONV-2025-027</t>
  </si>
  <si>
    <t>RESTAURANT CEBICHERÍA EL RINCÓN DE LA MONARCA</t>
  </si>
  <si>
    <t>JR.DELFÍN CERNA N°427</t>
  </si>
  <si>
    <t>LUCY AIMEE CENTURIÓN LOPEZ</t>
  </si>
  <si>
    <t>CONV-2025-028</t>
  </si>
  <si>
    <t>EL COLEGIO APLICACIÓN I.E VICTORINO ELORZ GOICOECHEA</t>
  </si>
  <si>
    <t>PSJE.LAS GAVIOTAS N° 246</t>
  </si>
  <si>
    <t>EVER LINCOL ARRIBASPLATA SÁNCHEZ</t>
  </si>
  <si>
    <t>CONV-2025-029</t>
  </si>
  <si>
    <t xml:space="preserve">I.E PRIVADO RETOÑITOS DE AMOR </t>
  </si>
  <si>
    <t>URB. CAMPO REAL MANZANA E LOTE 4</t>
  </si>
  <si>
    <t>WILSON PEPE SALAZAR ORTIZ</t>
  </si>
  <si>
    <t>CONV-2025-030</t>
  </si>
  <si>
    <t>I.E N° 126 BAJO OTUZCO</t>
  </si>
  <si>
    <t>CARRETERA OTUZCO 4.5 KM BAJO OTUZCO</t>
  </si>
  <si>
    <t>LILIA ARACELII BARRANTE CABANILLAS</t>
  </si>
  <si>
    <t>CONV-2025-031</t>
  </si>
  <si>
    <t>I.E INICIAL N° 020</t>
  </si>
  <si>
    <t>CENTRO POBLADO OTUZCO</t>
  </si>
  <si>
    <t>EMPERATRIZ GEORGINA ROJAS DE LA PUENTE</t>
  </si>
  <si>
    <t>CONV-2025-033</t>
  </si>
  <si>
    <t>INVERSIONES CICSA CAJAMARCA S.R.L</t>
  </si>
  <si>
    <t>JR.MIGUEL ANGEL LT 51</t>
  </si>
  <si>
    <t>EDWIN JHONE CAMPOS SOBERON</t>
  </si>
  <si>
    <t>CONV-2025-034</t>
  </si>
  <si>
    <t xml:space="preserve">POLLERÍA REAL CHICKEN </t>
  </si>
  <si>
    <t>CALLES LAS CAMELIAS N°109</t>
  </si>
  <si>
    <t xml:space="preserve">NILGAR EDILCIO ALAYA RODRÍGUEZ </t>
  </si>
  <si>
    <t>CONV-2025-037</t>
  </si>
  <si>
    <t>FERRETERÍA VÁSQUEZ</t>
  </si>
  <si>
    <t>JR.TACNA N°102</t>
  </si>
  <si>
    <t>EDGAR VÁSQUEZ SALAZAR</t>
  </si>
  <si>
    <t>CONV-2025-038</t>
  </si>
  <si>
    <t xml:space="preserve">DISTRIBUIDORA DE ACEROS MEDINA SRL </t>
  </si>
  <si>
    <t>AV.ATAHUALPA N°539</t>
  </si>
  <si>
    <t xml:space="preserve">ELVIS FAUSTO MEDINA GARCÍA </t>
  </si>
  <si>
    <t>CONV-2025-0039</t>
  </si>
  <si>
    <t>0039-2025</t>
  </si>
  <si>
    <t>POISEIDON CAMPESTRE SAC</t>
  </si>
  <si>
    <t>PROL. AYACUCHO S/N</t>
  </si>
  <si>
    <t>RAUL SEVASTIAN ARRUE HUAPAYA</t>
  </si>
  <si>
    <t>CONV-2025-0040</t>
  </si>
  <si>
    <t>0040-2025</t>
  </si>
  <si>
    <t>ENTRE POLLOS Y COSTILLAS</t>
  </si>
  <si>
    <t>AV. HOYOS RUBIOS N° 460 - CAJAMARCA</t>
  </si>
  <si>
    <t>JULIO CESAR CHUGNAS FLORES</t>
  </si>
  <si>
    <t>CONV-2025-0041</t>
  </si>
  <si>
    <t>0041-2025</t>
  </si>
  <si>
    <t>HOTEL CASA HACIENDA SANTA ROSA</t>
  </si>
  <si>
    <t>CALLE LOS SAUCES N°118-URB. SANTA ROSA CAJAMARCA</t>
  </si>
  <si>
    <t>LUIS FERNANDO CASTAÑEDA VIZCONDE</t>
  </si>
  <si>
    <t>CONV-2025-0043</t>
  </si>
  <si>
    <t>0043-2025</t>
  </si>
  <si>
    <t>J&amp;V RESGUARDADO SAC</t>
  </si>
  <si>
    <t>PSJE. AVE FENIX N° 126 CAJAMARCA</t>
  </si>
  <si>
    <t>EDGARDO ESCOBAR ALVITREZ</t>
  </si>
  <si>
    <t>SERVICIOS SOCIALES Y DE SALUD</t>
  </si>
  <si>
    <t>CONV-2025-0045</t>
  </si>
  <si>
    <t>0045-2025</t>
  </si>
  <si>
    <t>OLIVOS SALON &amp; SPA EIRL</t>
  </si>
  <si>
    <t>JR. ANCASH N° 295 CAJAMARCA</t>
  </si>
  <si>
    <t>ROXANA DEL MILAGRO AGUERO OLIVOS</t>
  </si>
  <si>
    <t>07452853</t>
  </si>
  <si>
    <t>CONV-2025-0046</t>
  </si>
  <si>
    <t>0046-2025</t>
  </si>
  <si>
    <t>ASOCIACION DE COMERCIANTES DEL MERCADO CENTRAL DE CAJAMARCA</t>
  </si>
  <si>
    <t>JR. AMAZONAS N° 511  CAJAMARCA</t>
  </si>
  <si>
    <t>JONY WILLIAMS TAMAYO RIOS</t>
  </si>
  <si>
    <t>CONV-2025-0048</t>
  </si>
  <si>
    <t>0048-2025</t>
  </si>
  <si>
    <t>ASOCIACION EDUCATIVA ADVENTISTA NOR PACIFICO</t>
  </si>
  <si>
    <t>JR. EL INCA S/N CAJAMARCA</t>
  </si>
  <si>
    <t>CHRISTIAN ALBERTO SARAVIA CUEVA</t>
  </si>
  <si>
    <t>CON-2025-0050</t>
  </si>
  <si>
    <t>0050-2025</t>
  </si>
  <si>
    <t>BARBER SHOP EL PROTAGONISTA</t>
  </si>
  <si>
    <t>AV: SAN MARTIN N°989 CAJAMARCA</t>
  </si>
  <si>
    <t>JOSE GERMAN CUSQUISIBAN CARMONA</t>
  </si>
  <si>
    <t>CON_2025-0051</t>
  </si>
  <si>
    <t>0051-2025</t>
  </si>
  <si>
    <t>ALIS SALON &amp;SPA</t>
  </si>
  <si>
    <t>JR: LAS CUCARDAS N° 311 CAJAMARCA</t>
  </si>
  <si>
    <t>ANABEL JULITZER VALDIVIA LLANOS</t>
  </si>
  <si>
    <t>CON_2025-0052</t>
  </si>
  <si>
    <t>0052-2025</t>
  </si>
  <si>
    <t>AURA SALON &amp;SPA</t>
  </si>
  <si>
    <t>JR: LOS NOGALESN° 271 CAJAMARCA</t>
  </si>
  <si>
    <t>CARMEN ROSA CONTRERAS CABEZAS</t>
  </si>
  <si>
    <t>CON_2025-0053</t>
  </si>
  <si>
    <t>0053-2025</t>
  </si>
  <si>
    <t>INSTITUCION I.E N°82028</t>
  </si>
  <si>
    <t>AV: CARDUCI N°220 CAJAMARCA</t>
  </si>
  <si>
    <t>NELSON WILDER PEREZ LEIVA</t>
  </si>
  <si>
    <t>CON_2025-0055</t>
  </si>
  <si>
    <t>0055-2025</t>
  </si>
  <si>
    <t>RESTAURANT LA ZARZAS</t>
  </si>
  <si>
    <t>AV: HOYOS RUBIO N°1420 CAJAMARCA</t>
  </si>
  <si>
    <t>JAIME GAMBOA COTRINA</t>
  </si>
  <si>
    <t>CON_2025-0056</t>
  </si>
  <si>
    <t>0056-2025</t>
  </si>
  <si>
    <t>INVERSIONES COMPANY                                     CUS EIRL</t>
  </si>
  <si>
    <t>GERMAN CUSQUISIBAN CARMONA</t>
  </si>
  <si>
    <t>VICUNA CONSULTORIA Y CONSTRUCCIONES SRL</t>
  </si>
  <si>
    <t>JR: JUAN VILLANUEVA N°315 CAJAMARCA</t>
  </si>
  <si>
    <t>MARCO RUBIO GAYOSO</t>
  </si>
  <si>
    <t>CON_2025-0058</t>
  </si>
  <si>
    <t>0058-2025</t>
  </si>
  <si>
    <t>SOLUCIONES MULTIPLES I&amp;W SRL</t>
  </si>
  <si>
    <t>AV: HOYOS RUBIOS N°1540 CAJAMARCA</t>
  </si>
  <si>
    <t>WILDER NICOLAS CHAVEZ SALDAÑAS</t>
  </si>
  <si>
    <t>CON_2025-0060</t>
  </si>
  <si>
    <t>0060-2025</t>
  </si>
  <si>
    <t>T´AJSA CONSULTORIA CONSTRUCCIONES Y SERVICIOS GENERALES SAC</t>
  </si>
  <si>
    <t>PSJ. NAVIDAD S/N AJOSCANCHA CAJAMARCA</t>
  </si>
  <si>
    <t>HUVER RONALD NUÑEZ EDQUEN</t>
  </si>
  <si>
    <t>CON_2025-0061</t>
  </si>
  <si>
    <t>0061-2025</t>
  </si>
  <si>
    <t>COMPANIA DE BOMBEROS CAJAMARCA</t>
  </si>
  <si>
    <t>AV: ATAHUALPA N° 1407 CAJAMARCA</t>
  </si>
  <si>
    <t>CAPITAN PEDROJOAO ESCALANTE POMA</t>
  </si>
  <si>
    <t>CON_2025-0062</t>
  </si>
  <si>
    <t>0062-2025</t>
  </si>
  <si>
    <t>I.E. JUAN XXIII</t>
  </si>
  <si>
    <t>0390309</t>
  </si>
  <si>
    <t>JR. JUAN XXII N°130</t>
  </si>
  <si>
    <t>RENAN DINO PEREZ ESTRADA</t>
  </si>
  <si>
    <t>CON_2025-0066</t>
  </si>
  <si>
    <t>0066-2025</t>
  </si>
  <si>
    <t>NICANOR SERVICIOS GENERALES EIRL</t>
  </si>
  <si>
    <t>JR. SINCHI ROCA  N°322 BAÑOS DEL INCA</t>
  </si>
  <si>
    <t>NORMA LILIANA QUISPE HUARIPATA</t>
  </si>
  <si>
    <t>CON_2025-0067</t>
  </si>
  <si>
    <t>0067-2025</t>
  </si>
  <si>
    <t>INVERSIONES IMPERIAL</t>
  </si>
  <si>
    <t>JR. UCAYALY N°343 - CAJAMARCA</t>
  </si>
  <si>
    <t>MARY YSABEL SANCHEZ LINARES</t>
  </si>
  <si>
    <t>CON_2025-0068</t>
  </si>
  <si>
    <t>0068-2025</t>
  </si>
  <si>
    <t>SASTRERIA Y CONFECCIONES RANCE</t>
  </si>
  <si>
    <t>AV. PERU N°425 CAJAMARCA</t>
  </si>
  <si>
    <t>ROLANDO GARCIA FRUCTUOSO</t>
  </si>
  <si>
    <t>CONV-2025-0069</t>
  </si>
  <si>
    <t>0069-2025</t>
  </si>
  <si>
    <t>FEDERLAN EIRL</t>
  </si>
  <si>
    <t>JR. MANUEL SEOANE N°2317-CAJAMARCA</t>
  </si>
  <si>
    <t>JUAN FERNANDO GUEVARA HUAPAYA</t>
  </si>
  <si>
    <t>CONV-2025-0074</t>
  </si>
  <si>
    <t>0074-2025</t>
  </si>
  <si>
    <t>INDUSTRIAL PANIFICADORA BENJAFRUTI</t>
  </si>
  <si>
    <t>JR. AUGUSTO B. LEGUIA N°112-CAJAMARCA</t>
  </si>
  <si>
    <t>ABANER TONY LLANOS CORTEGANA</t>
  </si>
  <si>
    <t>16/06/2025</t>
  </si>
  <si>
    <t>CONV-2025-0075</t>
  </si>
  <si>
    <t>0075-2025</t>
  </si>
  <si>
    <t>YELKA ROSAS SALON Y SPA</t>
  </si>
  <si>
    <t>PASAJE JUAN PABLO II N°276. URB. EL INGENIO CAJAMARCA</t>
  </si>
  <si>
    <t>YELKA ORIANA ROSAS ANAYA</t>
  </si>
  <si>
    <t>I.E. EEMBLEMÁTICA "SAN RAMÓN" - CAJAMARCA</t>
  </si>
  <si>
    <t>0390591</t>
  </si>
  <si>
    <t>Av. 13 de Julio N° 275</t>
  </si>
  <si>
    <t>SEGUNDO FRANCISCO BUSTAMANTE HOYOS</t>
  </si>
  <si>
    <t>26684704</t>
  </si>
  <si>
    <t>CENTRO DE PROMOCIÓN Y DESARROLLO DE LAS MICRO FINANZAS</t>
  </si>
  <si>
    <t>20496163177</t>
  </si>
  <si>
    <t>Jr. Los Sauces 515 - Cajamarca</t>
  </si>
  <si>
    <t>CPC CELESTINO OSWALDO CASTAÑEDA SILVA</t>
  </si>
  <si>
    <t>26717980</t>
  </si>
  <si>
    <t>CONFECCIONES SANGAY</t>
  </si>
  <si>
    <t>Jr. Los Gladiolos N° 180 - Cajamarca</t>
  </si>
  <si>
    <t>LILIANA RAMOS SANGAY</t>
  </si>
  <si>
    <t>NOLBERT BEAUTY STUDIO</t>
  </si>
  <si>
    <t>Av. Hoyos Rubio N° 662 - A - Cajamarca</t>
  </si>
  <si>
    <t>NOLBERT YACOPAICO VASQUEZ</t>
  </si>
  <si>
    <t>COMP/ADMI/ESTILISMO</t>
  </si>
  <si>
    <t>SALÓN &amp; SPA ANY</t>
  </si>
  <si>
    <t>Jr. Dos de Mayo N° 920 - Cajamarca</t>
  </si>
  <si>
    <t>ANA MARITA SALAZAR ROJAS</t>
  </si>
  <si>
    <t>ESTILISTAS PROFESIONALES EL ZARCO</t>
  </si>
  <si>
    <t>Jr. Tarapacá N° 962</t>
  </si>
  <si>
    <t xml:space="preserve">GLADYS ORFILA QUISPE OTINIANO </t>
  </si>
  <si>
    <t>MILAGROS SALON &amp; SPA</t>
  </si>
  <si>
    <t>Jr. Amazonas N° 203 - Cajamarca</t>
  </si>
  <si>
    <t xml:space="preserve">QUELIDA MILAGROS COLLADO LEIVA </t>
  </si>
  <si>
    <t>ERIKA JULISSA-SALON</t>
  </si>
  <si>
    <t>Jr. Tarapacá N° 987 - Cajamarca</t>
  </si>
  <si>
    <t>ERIKA JULISSA GARCÍA MENDOZA</t>
  </si>
  <si>
    <t>INVERSIONES MANOSALVA SRL</t>
  </si>
  <si>
    <t>Jr. Dos de Mayo N° 800 - Cajamarca</t>
  </si>
  <si>
    <t>JORGE LUIS MANOSALVA MEJÍA</t>
  </si>
  <si>
    <t>ADARA SALÓN SPA</t>
  </si>
  <si>
    <t>Av. Miguel Grau N° 670</t>
  </si>
  <si>
    <t>ELBA EDELMIRA QUIROZ PASTOR</t>
  </si>
  <si>
    <t>PANADERIA PASTELERÍA MAURIPAN</t>
  </si>
  <si>
    <t>Jr. Miraflores N° 188 - Sector N° 06 - Chontapaccha - Cajamarca</t>
  </si>
  <si>
    <t xml:space="preserve">MIGUEL ANGEL CASTILLO ROJAS </t>
  </si>
  <si>
    <t>CATALEYA BEAUTY STUDIO EIRL</t>
  </si>
  <si>
    <t>Jr. Amazonas N° 1073 - Cajamarca</t>
  </si>
  <si>
    <t>GUEVARA VASQUEZ ENMA ALEJANDRA</t>
  </si>
  <si>
    <t xml:space="preserve"> BURO SERVICIOS COMERCIALES S.A.C</t>
  </si>
  <si>
    <t>Jr. Del Comercio N° 523 - Cajamarca</t>
  </si>
  <si>
    <t xml:space="preserve">YULEYSI URIARTE GONZALES </t>
  </si>
  <si>
    <t>DIANA SALÓN &amp; SPA</t>
  </si>
  <si>
    <t>Av. San Martin N° 989</t>
  </si>
  <si>
    <t>DIANA NATALY AGUILAR CARRIÓN</t>
  </si>
  <si>
    <t>SERVICIOS GENERALES CHUQUIMANGO</t>
  </si>
  <si>
    <t>Calle Los Alisos N° 440</t>
  </si>
  <si>
    <t>MANUEL DE LA CRUZ CHUQUIMANGO PORTAL</t>
  </si>
  <si>
    <t>CREACIONES JHENY</t>
  </si>
  <si>
    <t>Jr Amazonas 207 - Cajamarca</t>
  </si>
  <si>
    <t>JHENY ELIZABETH GUTIÉRREZ YOPLA</t>
  </si>
  <si>
    <t>CORPORACIÓN NARRO SERVICIOS GENERALES SRL</t>
  </si>
  <si>
    <t xml:space="preserve">Prolongación Los Andes N° 124 - Cajamarca </t>
  </si>
  <si>
    <t>CLAUDIA LISBETH MORENO NARRO</t>
  </si>
  <si>
    <t>INDUSTRIA PANIFICADORA SAN LUIS S.A.C</t>
  </si>
  <si>
    <t>Jr. Miguel Iglesias N° 715 - Cajamarca</t>
  </si>
  <si>
    <t>VALDEZ CALUA PEDRO</t>
  </si>
  <si>
    <t>LOPAC INFOSECURE S.A.C.</t>
  </si>
  <si>
    <t>Jr. Antonio G. Urrelo N° 999 - Cajamarca</t>
  </si>
  <si>
    <t xml:space="preserve"> JHON ALBERTO GARCIA ACOSTA</t>
  </si>
  <si>
    <t xml:space="preserve">INSTITUCION EDUCATIVA PUBLICA EMBLEMATICA "SANTA TERESITA" </t>
  </si>
  <si>
    <t>Av. Mario Urteaga N° 360 - Cajamarca</t>
  </si>
  <si>
    <t>MARGARITA ELENA CASTILLA FELIX</t>
  </si>
  <si>
    <t>ALCICAFREP.VIP TOURS IN GOD WE TRUST - SRL</t>
  </si>
  <si>
    <t>Jr. Amalia Puga N° 661 - Cajamarca</t>
  </si>
  <si>
    <t xml:space="preserve">EDELMIRA LORENA VIGO INTOR </t>
  </si>
  <si>
    <t>HOTEL CASA HACIENDA CAMPO SANTA ROSA</t>
  </si>
  <si>
    <t>Calle Los Sauces 120 Urbanización Santa Rosa - Cajamarca</t>
  </si>
  <si>
    <t>LAM SOLUTIONS SRL</t>
  </si>
  <si>
    <t>20601108781</t>
  </si>
  <si>
    <t>Jr Amazonas 1149 - Cajamarca</t>
  </si>
  <si>
    <t xml:space="preserve">LUIS ALEJOS MORALES </t>
  </si>
  <si>
    <t>EXPANSIÓN SALES MANAGEMENT SAC</t>
  </si>
  <si>
    <t>Jirón Miguel Checa N° 694  Dpto 201 Urb.Santa Catalina - La victoria - Lima</t>
  </si>
  <si>
    <t xml:space="preserve">MARIA DEL PILAR HERRAN PÉREZ </t>
  </si>
  <si>
    <t>EVOLUCIÓN PERÚ TELECOMUNICACIONES S. A. C.</t>
  </si>
  <si>
    <t xml:space="preserve">Calle Chinchón N° 886 Of. E - San Isidro - Lima </t>
  </si>
  <si>
    <t>ABEL ABAD PULCE</t>
  </si>
  <si>
    <t>SERVICIO DE ADMINISTRACION TRIBUTARIA “CAJAMARCA”</t>
  </si>
  <si>
    <t>Complejo Qhápac Ñan. Av. Alameda de los Incas S/N – Cajamarca</t>
  </si>
  <si>
    <t>Abog. CRISTIAN PAUL PAJARES RABANAL</t>
  </si>
  <si>
    <t xml:space="preserve"> LIBRERÍA MATEO</t>
  </si>
  <si>
    <t>Jr. Sucre N° 575 - Cajamarca</t>
  </si>
  <si>
    <t>ELENA ROSARIO MANAYAY CALDERÓN</t>
  </si>
  <si>
    <t>ADELITA SALÓN BARBERIA SPA</t>
  </si>
  <si>
    <t>Jr. Gonzales Prada N° 217 - Cajamarca</t>
  </si>
  <si>
    <t>ADELITA CHUGNAS PAICO</t>
  </si>
  <si>
    <t>CONFECCIONES JUNE MODA PERÚ</t>
  </si>
  <si>
    <t xml:space="preserve">Jr. La Molina Mz K Lt. 13 </t>
  </si>
  <si>
    <t>NANCY KARINA CHUQUIMANGO LÓPEZ</t>
  </si>
  <si>
    <t>ALEJANDRO SPA</t>
  </si>
  <si>
    <t>Calle La Azalea Mz B Lote 7 - Urb. Campo Real - Cajamarca</t>
  </si>
  <si>
    <t>ALEJANDRO SILVA OLIVOS</t>
  </si>
  <si>
    <t>08470502</t>
  </si>
  <si>
    <t>AMCAD INGENIEROS</t>
  </si>
  <si>
    <t>Jr. Cruz De Mayo S/N - Cajamarca</t>
  </si>
  <si>
    <t xml:space="preserve">DANNY ALEXANDER AMAMBAL DE LA CRUZ </t>
  </si>
  <si>
    <t>AMERICAN CELL E.I.R.L</t>
  </si>
  <si>
    <t>Jr. De Mayo N° 655 - Cajamarca</t>
  </si>
  <si>
    <t>ALEX ADRIANO LOZANO URIARTE</t>
  </si>
  <si>
    <t>ANGELICA ZUMARÁN SPA E.I.R.L.</t>
  </si>
  <si>
    <t>Av. San Martín De  Porres N°  1031 - Cajamarca</t>
  </si>
  <si>
    <t>ANGÉLICA MARÍA ZUMARÁN CABELLOS</t>
  </si>
  <si>
    <t>ANTOJITOS</t>
  </si>
  <si>
    <t>Jr. José Sabogal N° 1230 - Cajamarca</t>
  </si>
  <si>
    <t>MERCEDES CARIDAD PAREDES GARCÍA</t>
  </si>
  <si>
    <t>ASOCIACIÓN CIVIL ECLESIÁSTICA BANCO DE ALIMENTOS DE CAJAMARCA</t>
  </si>
  <si>
    <t>Pasaje El Molino N° 150 - Cajamarca</t>
  </si>
  <si>
    <t>ANTHONY JOHAN TERÁN REVILLA</t>
  </si>
  <si>
    <t>ATREVETE MERSACH SALÓN Y SPA</t>
  </si>
  <si>
    <t>Av. Andrés Zevallos N° 2264 - Cajamarca</t>
  </si>
  <si>
    <t xml:space="preserve">BELLA IMAGEN SALÓN SPA
</t>
  </si>
  <si>
    <t>Jr. Miguel Grau N° 552 - Cajamarca</t>
  </si>
  <si>
    <t>MANUELA DEL CARMEN GUERRERO CAJA</t>
  </si>
  <si>
    <t>BODEGA MARJORIE</t>
  </si>
  <si>
    <t>Jr. Chanchamayo N° 1611 - Cajamarca</t>
  </si>
  <si>
    <t xml:space="preserve">JEANETH MARJORIE CRUZ CANAZA </t>
  </si>
  <si>
    <t>BURO GROUP SERVICIOS COMERCIALES S.A.C</t>
  </si>
  <si>
    <t>Jr. Comercio N° 523 - Cajamarca</t>
  </si>
  <si>
    <t>ROBERT GODOY STERLING</t>
  </si>
  <si>
    <t>CENTRO DE ACOGIDA RESIDENCIAL - ALDEA INFANTIL SAN ANTONIO</t>
  </si>
  <si>
    <t>Av. Hoyos Rubio N° 907 - Cajamarca</t>
  </si>
  <si>
    <t>JORGE ENRIQUE BAZÁN MAYRA</t>
  </si>
  <si>
    <t>Av. Independencia N° 170 - Cajamarca</t>
  </si>
  <si>
    <t xml:space="preserve">ROSELA RAMOS ALTAMIRANO </t>
  </si>
  <si>
    <t>CEVICHERÍA CARIÑITO</t>
  </si>
  <si>
    <t>Jr. Arnaldo Marquez N° 342 - Cajamarca</t>
  </si>
  <si>
    <t>LEONARDO VÁSQUEZ ALBURUQUEQUE</t>
  </si>
  <si>
    <t>CHICHARRICOS &amp; KUSYCUY</t>
  </si>
  <si>
    <t>Jr. Amancaes N° 169 - Cajamarca</t>
  </si>
  <si>
    <t>JOSÉ MARCHENA FLORES</t>
  </si>
  <si>
    <t>06311795</t>
  </si>
  <si>
    <t xml:space="preserve">I.E HNO MIGUEL CARDUCCI RIPIANI </t>
  </si>
  <si>
    <t xml:space="preserve">AV. MIGUEL CARDUCCI </t>
  </si>
  <si>
    <t>VENTURA VARGAS LEOLIS MARFILO</t>
  </si>
  <si>
    <t>CJ ELECTRONICS</t>
  </si>
  <si>
    <t>Jr. Capac Yupanqui N° 200 A - Los Baños del Inca</t>
  </si>
  <si>
    <t>EDGAR CORTEZ JARA</t>
  </si>
  <si>
    <t>HOSTAL CAMPERO SAN ANTONIO EIRL</t>
  </si>
  <si>
    <t>CAS. TARTAR GRANDE Mz. E Lote 3, CARRETERA PORONGO Km. 5</t>
  </si>
  <si>
    <t>CARMEN VIVIANI LUNA ORTEGA</t>
  </si>
  <si>
    <t>RESTAURANT RELATOS</t>
  </si>
  <si>
    <t>VÍA DE EVITAMIENTO NORTE N° 2588 - CAJAMARCA</t>
  </si>
  <si>
    <t>BEATRIZ DEL SOCORRO GODOY CASTAÑEDA</t>
  </si>
  <si>
    <t xml:space="preserve">COCINA </t>
  </si>
  <si>
    <t>CENTRO DE EDUCACIÓN BÁSICA ESPECIAL CAJAMARCA</t>
  </si>
  <si>
    <t>JR. CUMBE MAYO N° 380 - CAJAMARCA</t>
  </si>
  <si>
    <t>FELIPE CAMPOS ALVA</t>
  </si>
  <si>
    <t>ASOCIACIÓN SANTA DOROTEA</t>
  </si>
  <si>
    <t>JR. TUPAC INCA YUPANQUI N° 300 - LOS BAÑOS DEL INCA</t>
  </si>
  <si>
    <t>SILVIA JOSEFINA PAJARES SALDAÑA</t>
  </si>
  <si>
    <t>CLINICA MARIA BELEN</t>
  </si>
  <si>
    <t>Av. Hoyo Rubio N° 2397 - Cajamarca</t>
  </si>
  <si>
    <t>JORGE LUIS VERGARA CASTAÑEDA</t>
  </si>
  <si>
    <t>06431127</t>
  </si>
  <si>
    <t>Jr. La Molina Mz K Lt. 13 - Cajamarca</t>
  </si>
  <si>
    <t>CONSORCIO PUEBLO NUEVO</t>
  </si>
  <si>
    <t>Calle Lima N° 422 - Cajamarca</t>
  </si>
  <si>
    <t>ROGER REYES RIOS</t>
  </si>
  <si>
    <t>CORPORACION COVAR E.I.R.L.</t>
  </si>
  <si>
    <t>Jr. Amazonas N° 858 - Cajamarca</t>
  </si>
  <si>
    <t>LUIS EDUARDO SALAZAR VARGAS</t>
  </si>
  <si>
    <t>Av. Vía de Evitamiento Norte N° 2588 - Cajamarca</t>
  </si>
  <si>
    <t>FIORELLA LISBETH VILLANUEVA VÁSQUEZ</t>
  </si>
  <si>
    <t>CORPORACIÓN NARRO SERVICIOS GENERALES</t>
  </si>
  <si>
    <t>Prolongación Los Andes N° 124 - Cajamarca</t>
  </si>
  <si>
    <t>Jr. Amazonas N° 207 - Stand 80 - Cajamarca</t>
  </si>
  <si>
    <t>Av. San Martin N° 989 - Cajamarca</t>
  </si>
  <si>
    <t>DIESTRA SPA Y ACADEMIA DE UÑAS</t>
  </si>
  <si>
    <t>Av. Vía de Evitamiento Norte N° 232 - Cajamarca</t>
  </si>
  <si>
    <t>DEISY ANABEL DÍAZ  ESTRADA</t>
  </si>
  <si>
    <t>ERIKA JULISSA SALÓN</t>
  </si>
  <si>
    <t>ERIKA  JULISSA GARCÍA MENDOZA</t>
  </si>
  <si>
    <t xml:space="preserve">ERLYS
</t>
  </si>
  <si>
    <t>Jr. Amazonas N° 209 - Cajamarca</t>
  </si>
  <si>
    <t>OSCAR PITA VASQUEZ</t>
  </si>
  <si>
    <t>FC COMPU TECNOLOGY</t>
  </si>
  <si>
    <t>Jr. Cinco Esquinas N° 1048 - Cajamarca</t>
  </si>
  <si>
    <t>FREDY ANTHONY CIRIACO TORRES</t>
  </si>
  <si>
    <t xml:space="preserve">FLAVYS SALÓN DE BELLEZA
</t>
  </si>
  <si>
    <t>Jr. Amazonas N° 203-Stand 93 - Cajamarca</t>
  </si>
  <si>
    <t>SANDRA ARACELI TACILLA ROJAS</t>
  </si>
  <si>
    <t>FLOWER</t>
  </si>
  <si>
    <t>Jr. Amazonas N° 213 - Cajamarca</t>
  </si>
  <si>
    <t>MARÍA LIZET ALVA ALVA</t>
  </si>
  <si>
    <t>FORCHI JL S.A.C.</t>
  </si>
  <si>
    <t>Car.Otuzco Km. 4.5 Mza. C Lote. 44 C.P. Otuzco - Los Baños Del Inca</t>
  </si>
  <si>
    <t>JOSÉ LUIS HUAMAN LÓPEZ</t>
  </si>
  <si>
    <t>FQA INVERSIONES</t>
  </si>
  <si>
    <t>Jr. Arcomayo N° B15 - Cajamarca</t>
  </si>
  <si>
    <t>BENIGNA  ARANA MEDINA</t>
  </si>
  <si>
    <t>GRUPO COLLANTES</t>
  </si>
  <si>
    <t>Km 4 Carretera a Otuzco</t>
  </si>
  <si>
    <t>MARÍA RUFINA HOYOS DE COLLANTES</t>
  </si>
  <si>
    <t>04427907</t>
  </si>
  <si>
    <t>HABANA - BARBERÍA - SALÓN</t>
  </si>
  <si>
    <t>Av.Hoyos Rubio N° 896 - Cajamarca</t>
  </si>
  <si>
    <t>PERCY RODOLFO SEGURA GUARNIZ</t>
  </si>
  <si>
    <t>I.E 82949 BELEN</t>
  </si>
  <si>
    <t>Pasaje UTC S/N - Cajamarca</t>
  </si>
  <si>
    <t>MARTÍN RAFAEL DÁVILA DÍAZ</t>
  </si>
  <si>
    <t>I.E. SAN JOSE</t>
  </si>
  <si>
    <t>Jr. Bolivar S/N - Cajamarca</t>
  </si>
  <si>
    <t>JOSÉ IVÁN CASTAÑEDA GUTIÉRREZ</t>
  </si>
  <si>
    <t>IMPRESIONES EL GRAFICO EIRL</t>
  </si>
  <si>
    <t>Jr. Guillermo Urrelo N° 989 - Cajamarca</t>
  </si>
  <si>
    <t>EDITA CORINA TERRONES VASQUEZ</t>
  </si>
  <si>
    <t>INDUSTRIA PANIFICADORA BENJAFRUTI E.I.R.L</t>
  </si>
  <si>
    <t>Jr. Leguia N° 112-B - Cajamarca</t>
  </si>
  <si>
    <t>ABNER TONY LLANOS CORTEGANA</t>
  </si>
  <si>
    <t>INDUSTRIAS ALIMENTARIAS VILLA LAC E.I.R.L</t>
  </si>
  <si>
    <t>Caserío Shultin - Los Baños del Inca</t>
  </si>
  <si>
    <t xml:space="preserve">MARITZA AZAÑERO LLANOS </t>
  </si>
  <si>
    <t>INFOFLORES COMPUTER S.A.C</t>
  </si>
  <si>
    <t>Jr. El Batan Nro. 407 - Cajamarca</t>
  </si>
  <si>
    <t xml:space="preserve">ESAU FLORES VILLOSLADA </t>
  </si>
  <si>
    <t>INSTITUTO DE SALUD ABAT</t>
  </si>
  <si>
    <t>Av. El Maestro Nro 355 - Cajamarca</t>
  </si>
  <si>
    <t xml:space="preserve">WILHELM SARMIENTO CHÁVEZ </t>
  </si>
  <si>
    <t>INVERSIONES MATU SAC</t>
  </si>
  <si>
    <t>Jr. Del Comercio N° 630 - Cajamarca</t>
  </si>
  <si>
    <t>EDUARDO MATTO GUARDIA</t>
  </si>
  <si>
    <t xml:space="preserve">JHULIANA BOUTIQUE SALÓN Y SPA
</t>
  </si>
  <si>
    <t>Av. Universitaria N° 105 - Cajamarca</t>
  </si>
  <si>
    <t>JHULIANA LLAQUE ZOCÓN</t>
  </si>
  <si>
    <t>KAIKA RESTOBAR</t>
  </si>
  <si>
    <t>Jirón 5 Esquinas N° 1621 - Cajamarca</t>
  </si>
  <si>
    <t>YANET CHARITO ALFARO CARDENAS</t>
  </si>
  <si>
    <t>KING BARBER SPA</t>
  </si>
  <si>
    <t>Jr. Ramiro Leon Urbina C2 - Cajamarca</t>
  </si>
  <si>
    <t>YON LENER LLATAS IZQUIERDO</t>
  </si>
  <si>
    <t>KLETOS MARKET</t>
  </si>
  <si>
    <t>Av. Mártires de Uchuracay N° 41 - Cajamarca</t>
  </si>
  <si>
    <t>FIORELLA ASTRID CERNA MALVAS</t>
  </si>
  <si>
    <t>KONOHA</t>
  </si>
  <si>
    <t>Jr. Arnaldo Marquez N° 442 - Cajamarca</t>
  </si>
  <si>
    <t>LA TIA LUCHITA</t>
  </si>
  <si>
    <t>Jr. Amazonas N° 685 - Cajamarca</t>
  </si>
  <si>
    <t xml:space="preserve">ROSA FLOR GARCÍA VARGAS </t>
  </si>
  <si>
    <t>MAGY'S HAIR SALÓN</t>
  </si>
  <si>
    <t>Jr. Jequetepeque N° 200 - Cajamarca</t>
  </si>
  <si>
    <t>ROCÍO MAGALY LÓPEZ CHUQUILIN</t>
  </si>
  <si>
    <t>MAJU GIMENA SALÓN &amp; SPÁ</t>
  </si>
  <si>
    <t>Jr. Revilla Pérez N° 571 - Cajamarca</t>
  </si>
  <si>
    <t xml:space="preserve">ELSA DÍAZ VILLALOBOS </t>
  </si>
  <si>
    <t>MAVA ESTILOS SALÓN &amp; SPA</t>
  </si>
  <si>
    <t>Jr. Guillermo Urrelo N° 1042 - Cajamarca</t>
  </si>
  <si>
    <t>MARÍA ALEJOS MORALES</t>
  </si>
  <si>
    <t>MINERIA Y CONSTRUCCIÓN SIMAS ANDINA SERVICIO GENERALES SRL</t>
  </si>
  <si>
    <t>Jr. Zoilo León N° 280 - Cajamarca</t>
  </si>
  <si>
    <t>ALCIDES QUIRÓZ FLORES</t>
  </si>
  <si>
    <t>Jr. Dos De Mayo N° 217 - Cajamarca</t>
  </si>
  <si>
    <t>NATALY ARACELI CERQUIN PEÑA</t>
  </si>
  <si>
    <t>MONTERO SALÓN &amp; SPA</t>
  </si>
  <si>
    <t>Via De Evitamiento Norte Mza-18 Urb. San Roque - Cajamarca</t>
  </si>
  <si>
    <t>ROUSE MONTERO SIGUEÑAS</t>
  </si>
  <si>
    <t>MULATO ANTICUCHERO</t>
  </si>
  <si>
    <t>Av. Andrés Zeballos N° 1451 - Cajamarca</t>
  </si>
  <si>
    <t>ROBERT LAZARTE PONCE</t>
  </si>
  <si>
    <t>MULTISERVICIOS CHIROQUE</t>
  </si>
  <si>
    <t>Jr. Amancaes N° 750- Cajamarca</t>
  </si>
  <si>
    <t>LEO ALBERT CHIROQUE BRUNO</t>
  </si>
  <si>
    <t>Av.Hoyos Rubio N° 662 - A - Cajamarca</t>
  </si>
  <si>
    <t>NOLBERT YACOPAICO VÁSQUEZ</t>
  </si>
  <si>
    <t>Jr.Tarapacá N° 836 - Cajamarca</t>
  </si>
  <si>
    <t>DOMINGO AGÜERO OLIVOS</t>
  </si>
  <si>
    <t>PANADERIA Y PASTELERIA BRAYAN</t>
  </si>
  <si>
    <t>Av. Hoyos Rubio N° 646 - Cajamarca</t>
  </si>
  <si>
    <t>ROSSEL TAPIA DÍAZ</t>
  </si>
  <si>
    <t>PANADERÍA Y PASTELERÍA BRIANA EIRL</t>
  </si>
  <si>
    <t>Av. La Paz N° 190 - Cajamarca</t>
  </si>
  <si>
    <t>MIGUEL CRUZ CONCEPCIÓN</t>
  </si>
  <si>
    <t xml:space="preserve">PATTY SALÓN SPA Y BARBERIA
</t>
  </si>
  <si>
    <t>Alameda La Chonta N° 355 -Los Baños Del Inca</t>
  </si>
  <si>
    <t>PIKOS CHICKEN</t>
  </si>
  <si>
    <t>Jr. Delfin Cerna N° 401 - Cajamarca</t>
  </si>
  <si>
    <t>CARLOS HUAMÁN ESCOBAR</t>
  </si>
  <si>
    <t>PURITA BELLEZA SALÓN</t>
  </si>
  <si>
    <t>Jr.Amazonas N° 213 Stand 40 - Cajamarca</t>
  </si>
  <si>
    <t>MÓNICA RAQUEL ROJAS CHÁVEZ</t>
  </si>
  <si>
    <t>RED INTEGRADA DE SALUD (RIS) CAJAMARCA</t>
  </si>
  <si>
    <t>Av. La Cantuta N° 124 - Cajamarca</t>
  </si>
  <si>
    <t>JHONATAN PIEER PAREDES VÁSQUEZ</t>
  </si>
  <si>
    <t xml:space="preserve">ROXY CENTRO DE BELLEZA
</t>
  </si>
  <si>
    <t>Jr.Leguia N° 289 - Cajamarca</t>
  </si>
  <si>
    <t>ROXY PITA VÁSQUEZ</t>
  </si>
  <si>
    <t>SALES FORCE PERU SRL</t>
  </si>
  <si>
    <t>Jr. Las Palomas Nro 120-Surquillo - Lima</t>
  </si>
  <si>
    <t>ENRIQUE CHAMBERGO COSMOPOLIS</t>
  </si>
  <si>
    <t>SALÓN &amp; ESTYLOS ANFRYD</t>
  </si>
  <si>
    <t>Jr. Amazonas N° 231 - Cajamarca</t>
  </si>
  <si>
    <t>YANETH DEICY NUÑEZ VALLEJOS</t>
  </si>
  <si>
    <t>SALÓN SPA ESTILOS MARY</t>
  </si>
  <si>
    <t>Jr. Dos De Mayo N° 1098 - Cajamarca</t>
  </si>
  <si>
    <t>MARÍA ELENA TAPIA BUSTAMANTE</t>
  </si>
  <si>
    <t>SG DATA NETWORK S.R.L.</t>
  </si>
  <si>
    <t>Jr. Antonio G. Urrelo N° 987 - Cajamarca</t>
  </si>
  <si>
    <t>ROQUE SILVA RICHARD HENRY</t>
  </si>
  <si>
    <t>SPA ERLY</t>
  </si>
  <si>
    <t>Jr. Amazonas N° 209 Stand 47 - Cajamarca</t>
  </si>
  <si>
    <t>ELVA ERLITA CASTPE ARANA</t>
  </si>
  <si>
    <t xml:space="preserve">STORE SPA  KATHALINA
</t>
  </si>
  <si>
    <t>Jr. Amazonas N° 203-Stand 6 - Cajamarca</t>
  </si>
  <si>
    <t>GLADYS BUENDIA LOZANO</t>
  </si>
  <si>
    <t xml:space="preserve">VANESSA  SALÓN SPA
</t>
  </si>
  <si>
    <t>Jr .Lloque Yupanqui N° 275 - Los Baños del Inca</t>
  </si>
  <si>
    <t>VANESSA LLANOS CHAVEZ</t>
  </si>
  <si>
    <t xml:space="preserve">VIOLETH SPA
</t>
  </si>
  <si>
    <t>Pasaje Cumulca B-13 Urbanizacion Cajamarca - Cajamarca</t>
  </si>
  <si>
    <t>WILITOR SAC</t>
  </si>
  <si>
    <t>Jr. Pedro Villanueva S/N - Cajamarca</t>
  </si>
  <si>
    <t xml:space="preserve">WILFREDO WENCESLAO RONDO CUEVAS </t>
  </si>
  <si>
    <t>FORTEZZA WC S.A.C.</t>
  </si>
  <si>
    <t xml:space="preserve">LILIANA ARACELI CHICLOTE GONZALES </t>
  </si>
  <si>
    <t>OBSERVACIONES</t>
  </si>
  <si>
    <t>No se encontro dia y mes de inicio del convenio, se agreto 01 de enero</t>
  </si>
  <si>
    <t>999 026 301</t>
  </si>
  <si>
    <t>924 500 816</t>
  </si>
  <si>
    <t>976 593 741</t>
  </si>
  <si>
    <t>975 173 287</t>
  </si>
  <si>
    <t>900729886/937508113</t>
  </si>
  <si>
    <t>COCINA/REDES/ADMINISTRACIÓN</t>
  </si>
  <si>
    <t>CONV-2026-0001</t>
  </si>
  <si>
    <t>0001-2026</t>
  </si>
  <si>
    <t>CONV-2026-0002</t>
  </si>
  <si>
    <t>CONV-2026-0003</t>
  </si>
  <si>
    <t>CONV-2026-0004</t>
  </si>
  <si>
    <t>CONV-2026-0005</t>
  </si>
  <si>
    <t>CONV-2026-0006</t>
  </si>
  <si>
    <t>CONV-2026-0007</t>
  </si>
  <si>
    <t>CONV-2026-0008</t>
  </si>
  <si>
    <t>CONV-2026-0009</t>
  </si>
  <si>
    <t>CONV-2026-0010</t>
  </si>
  <si>
    <t>CONV-2026-0012</t>
  </si>
  <si>
    <t>CONV-2026-0013</t>
  </si>
  <si>
    <t>CONV-2026-0014</t>
  </si>
  <si>
    <t>CONV-2026-0015</t>
  </si>
  <si>
    <t>CONV-2026-0016</t>
  </si>
  <si>
    <t>CONV-2026-0017</t>
  </si>
  <si>
    <t>CONV-2026-0019</t>
  </si>
  <si>
    <t>CONV-2026-0021</t>
  </si>
  <si>
    <t>CONV-2026-0022</t>
  </si>
  <si>
    <t>CONV-2026-0023</t>
  </si>
  <si>
    <t>CONV-2026-0024</t>
  </si>
  <si>
    <t>CONV-2026-0025</t>
  </si>
  <si>
    <t>CONV-2026-0026</t>
  </si>
  <si>
    <t>CONV-2026-0027</t>
  </si>
  <si>
    <t>CONV-2026-0028</t>
  </si>
  <si>
    <t>CONV-2026-0031</t>
  </si>
  <si>
    <t>CONV-2026-0032</t>
  </si>
  <si>
    <t>CONV-2026-0035</t>
  </si>
  <si>
    <t>CONV-2026-0036</t>
  </si>
  <si>
    <t>CONV-2026-0037</t>
  </si>
  <si>
    <t>CONV-2026-0038</t>
  </si>
  <si>
    <t>CONV-2026-0039</t>
  </si>
  <si>
    <t>CONV-2026-0042</t>
  </si>
  <si>
    <t>CONV-2026-0043</t>
  </si>
  <si>
    <t>CONV-2026-0044</t>
  </si>
  <si>
    <t>CONV-2026-0046</t>
  </si>
  <si>
    <t>CONV-2026-0047</t>
  </si>
  <si>
    <t>CONV-2026-0048</t>
  </si>
  <si>
    <t>CONV-2026-0049</t>
  </si>
  <si>
    <t>CONV-2026-0050</t>
  </si>
  <si>
    <t>CONV-2026-0051</t>
  </si>
  <si>
    <t>CONV-2026-0053</t>
  </si>
  <si>
    <t>CONV-2026-0054</t>
  </si>
  <si>
    <t>CONV-2026-0056</t>
  </si>
  <si>
    <t>CONV-2026-0057</t>
  </si>
  <si>
    <t>CONV-2026-0058</t>
  </si>
  <si>
    <t>CONV-2026-0059</t>
  </si>
  <si>
    <t>CONV-2026-0060</t>
  </si>
  <si>
    <t>CONV-2026-0061</t>
  </si>
  <si>
    <t>CONV-2026-0063</t>
  </si>
  <si>
    <t>CONV-2026-0064</t>
  </si>
  <si>
    <t>CONV-2026-0066</t>
  </si>
  <si>
    <t>CONV-2026-0067</t>
  </si>
  <si>
    <t>CONV-2026-0068</t>
  </si>
  <si>
    <t>CONV-2026-0069</t>
  </si>
  <si>
    <t>CONV-2026-0070</t>
  </si>
  <si>
    <t>CONV-2026-0071</t>
  </si>
  <si>
    <t>CONV-2026-0072</t>
  </si>
  <si>
    <t>CONV-2026-0073</t>
  </si>
  <si>
    <t>CONV-2026-0074</t>
  </si>
  <si>
    <t>CONV-2026-0075</t>
  </si>
  <si>
    <t>CONV-2026-0076</t>
  </si>
  <si>
    <t>CONV-2026-0077</t>
  </si>
  <si>
    <t>CONV-2026-0078</t>
  </si>
  <si>
    <t>CONV-2026-0080</t>
  </si>
  <si>
    <t>CONV-2026-0081</t>
  </si>
  <si>
    <t>CONV-2026-0082</t>
  </si>
  <si>
    <t>CONV-2026-0083</t>
  </si>
  <si>
    <t>CONV-2026-0084</t>
  </si>
  <si>
    <t>CONV-2026-0085</t>
  </si>
  <si>
    <t>CONV-2026-0086</t>
  </si>
  <si>
    <t>CONV-2026-0087</t>
  </si>
  <si>
    <t>CONV-2026-0088</t>
  </si>
  <si>
    <t>CONV-2026-0091</t>
  </si>
  <si>
    <t>CONV-2026-0092</t>
  </si>
  <si>
    <t>CONV-2026-0093</t>
  </si>
  <si>
    <t>CONV-2026-0094</t>
  </si>
  <si>
    <t>CONV-2026-0095</t>
  </si>
  <si>
    <t>CONV-2026-0097</t>
  </si>
  <si>
    <t>CONV-2026-0098</t>
  </si>
  <si>
    <t>CONV-2026-0099</t>
  </si>
  <si>
    <t>CONV-2026-0100</t>
  </si>
  <si>
    <t>CONV-2026-0101</t>
  </si>
  <si>
    <t>CONV-2026-0103</t>
  </si>
  <si>
    <t>CONV-2026-0104</t>
  </si>
  <si>
    <t>CONV-2026-0105</t>
  </si>
  <si>
    <t>CONV-2026-0106</t>
  </si>
  <si>
    <t>CONV-2026-0107</t>
  </si>
  <si>
    <t>0002-2026</t>
  </si>
  <si>
    <t>0003-2026</t>
  </si>
  <si>
    <t>0004-2026</t>
  </si>
  <si>
    <t>0005-2026</t>
  </si>
  <si>
    <t>0007-2026</t>
  </si>
  <si>
    <t>0006-2026</t>
  </si>
  <si>
    <t>0008-2026</t>
  </si>
  <si>
    <t>0009-2026</t>
  </si>
  <si>
    <t>0010-2026</t>
  </si>
  <si>
    <t>0012-2026</t>
  </si>
  <si>
    <t>0013-2026</t>
  </si>
  <si>
    <t>0014-2026</t>
  </si>
  <si>
    <t>0015-2026</t>
  </si>
  <si>
    <t>0016-2026</t>
  </si>
  <si>
    <t>0017-2026</t>
  </si>
  <si>
    <t>0019-2026</t>
  </si>
  <si>
    <t>0021-2026</t>
  </si>
  <si>
    <t>0022-2026</t>
  </si>
  <si>
    <t>0023-2026</t>
  </si>
  <si>
    <t>0024-2026</t>
  </si>
  <si>
    <t>0025-2026</t>
  </si>
  <si>
    <t>0026-2026</t>
  </si>
  <si>
    <t>0027-2026</t>
  </si>
  <si>
    <t>0028-2026</t>
  </si>
  <si>
    <t>0031-2026</t>
  </si>
  <si>
    <t>0032-2026</t>
  </si>
  <si>
    <t>0035-2026</t>
  </si>
  <si>
    <t>0036-2026</t>
  </si>
  <si>
    <t>0037-2026</t>
  </si>
  <si>
    <t>0038-2026</t>
  </si>
  <si>
    <t>0039-2026</t>
  </si>
  <si>
    <t>0042-2026</t>
  </si>
  <si>
    <t>0043-2026</t>
  </si>
  <si>
    <t>0044-2026</t>
  </si>
  <si>
    <t>0047-2026</t>
  </si>
  <si>
    <t>0048-2026</t>
  </si>
  <si>
    <t>0049-2026</t>
  </si>
  <si>
    <t>0050-2026</t>
  </si>
  <si>
    <t>0051-2026</t>
  </si>
  <si>
    <t>0053-2026</t>
  </si>
  <si>
    <t>0054-2026</t>
  </si>
  <si>
    <t>0056-2026</t>
  </si>
  <si>
    <t>0057-2026</t>
  </si>
  <si>
    <t>0058-2026</t>
  </si>
  <si>
    <t>0059-2026</t>
  </si>
  <si>
    <t>0060-2026</t>
  </si>
  <si>
    <t>0061-2026</t>
  </si>
  <si>
    <t>0063-2026</t>
  </si>
  <si>
    <t>0064-2026</t>
  </si>
  <si>
    <t>0046-2026</t>
  </si>
  <si>
    <t>0066-2026</t>
  </si>
  <si>
    <t>0067-2026</t>
  </si>
  <si>
    <t>0068-2026</t>
  </si>
  <si>
    <t>0069-2026</t>
  </si>
  <si>
    <t>0070-2026</t>
  </si>
  <si>
    <t>0071-2026</t>
  </si>
  <si>
    <t>0072-2026</t>
  </si>
  <si>
    <t>0073-2026</t>
  </si>
  <si>
    <t>0074-2026</t>
  </si>
  <si>
    <t>0075-2026</t>
  </si>
  <si>
    <t>0076-2026</t>
  </si>
  <si>
    <t>0077-2026</t>
  </si>
  <si>
    <t>0078-2026</t>
  </si>
  <si>
    <t>0080-2026</t>
  </si>
  <si>
    <t>0081-2026</t>
  </si>
  <si>
    <t>0083-2026</t>
  </si>
  <si>
    <t>0084-2026</t>
  </si>
  <si>
    <t>0085-2026</t>
  </si>
  <si>
    <t>0086-2026</t>
  </si>
  <si>
    <t>0087-2026</t>
  </si>
  <si>
    <t>0082-2026</t>
  </si>
  <si>
    <t>0088-2026</t>
  </si>
  <si>
    <t>0091-2026</t>
  </si>
  <si>
    <t>0092-2026</t>
  </si>
  <si>
    <t>0093-2026</t>
  </si>
  <si>
    <t>0094-2026</t>
  </si>
  <si>
    <t>0095-2026</t>
  </si>
  <si>
    <t>0097-2026</t>
  </si>
  <si>
    <t>0098-2026</t>
  </si>
  <si>
    <t>0099-2026</t>
  </si>
  <si>
    <t>0102-2026</t>
  </si>
  <si>
    <t>0103-2026</t>
  </si>
  <si>
    <t>0104-2026</t>
  </si>
  <si>
    <t>0105-2026</t>
  </si>
  <si>
    <t>0106-2026</t>
  </si>
  <si>
    <t>La misma Empresa mismo Ruc, DNI, diferente convenio, difetente dirección</t>
  </si>
  <si>
    <t>JR. BATAN 212 60129740</t>
  </si>
  <si>
    <t>La misma Empresa mismo Ruc, DNI, diferente convenio,dirección misma una sin número</t>
  </si>
  <si>
    <t>Error de DNI, corresponde a otra persona-Núñez Vallejo Yaneth Deicy</t>
  </si>
  <si>
    <t>OLIVOS SPA</t>
  </si>
  <si>
    <t>10081568486 PANADERIA PASTELERÍA MAURIPAN MIGUEL ANGEL CASTILLO ROJAS 8156848 990054509 0012-2026 PANADERÍA</t>
  </si>
  <si>
    <t>20615731863 CATALEYA BEAUTY STUDIO EIRL GUEVARA VASQUEZ ENMA ALEJANDRA 72954393 914387208 0013-2026 ESTILISMO</t>
  </si>
  <si>
    <t>SALON CASTOPE MICHA</t>
  </si>
  <si>
    <t>Jr Tarapaca Nro 112</t>
  </si>
  <si>
    <t>IRMA KATERINE CHAVEZ CUEVA</t>
  </si>
  <si>
    <t>0110-2026</t>
  </si>
  <si>
    <t>CONV-2026-0110</t>
  </si>
  <si>
    <t>0111-2026</t>
  </si>
  <si>
    <t>CONV-2026-0111</t>
  </si>
  <si>
    <t>CONV-2026-113</t>
  </si>
  <si>
    <t>0113-2026</t>
  </si>
  <si>
    <t xml:space="preserve">ESTETICA INTEGRAL CHIO
</t>
  </si>
  <si>
    <t xml:space="preserve">Jr silva santisteban 948 </t>
  </si>
  <si>
    <t>ROCIO RAMOS CHUQUIMANGO</t>
  </si>
  <si>
    <t xml:space="preserve">NO SE ENCONTRO CONVENIO EN FISICO </t>
  </si>
  <si>
    <t>RUC SE REPITE CON EL CONVENIO 42</t>
  </si>
  <si>
    <t xml:space="preserve">NO SE ECONTRO CONVENIO EN FISICO </t>
  </si>
  <si>
    <t>NO SE ENCUNTRA CONVENIO EN FISICO</t>
  </si>
  <si>
    <t>NO SE ENCUENTRA CONVENIO EN FISICO</t>
  </si>
  <si>
    <t>10474790920 MONNA BEAUTY STUDIO NATALY ARACELI CERQUIN PEÑA 47470909 993759147 0087-2026 ESTILISMO</t>
  </si>
  <si>
    <t>NO SE ENCUENTRA  CONVENIO FISICO</t>
  </si>
  <si>
    <t>20612863505 PANADERÍA Y PASTELERÍA BRIANA EIRL MIGUEL CRUZ CONCEPCIÓN 41547175 914292145 0094-2026 PANADERÍA</t>
  </si>
  <si>
    <t xml:space="preserve">NO SE ENCUENTRA CONVENIO EN FISICO </t>
  </si>
  <si>
    <t>NO SE ECUENTRA CONVENIO EN FISICO</t>
  </si>
  <si>
    <t>0114-2026</t>
  </si>
  <si>
    <t>0115-2026</t>
  </si>
  <si>
    <t>10457201589 VIOLETH SPA
 SAHIRA LORELEY ROJAS CALAMPA 45720158 938118725 0115-2026 ESTILISMO</t>
  </si>
  <si>
    <t>ADMINISTRACIÓN Y COMERCIO</t>
  </si>
  <si>
    <t>COMPUTACIÓN E INFORMÁTICA</t>
  </si>
  <si>
    <t>ELECTRICIDAD</t>
  </si>
  <si>
    <t>PANIFICACIÓN INDUSTRIAL</t>
  </si>
  <si>
    <t>TEXTIL Y CONFECCIÓN</t>
  </si>
  <si>
    <t>MÚSICA</t>
  </si>
  <si>
    <t>JARDINERÍA Y HORTICULTURA</t>
  </si>
  <si>
    <t/>
  </si>
  <si>
    <t>LAMISMA EMPRESA  MISMO RUC  , DNI ,  DIFERENTE CPNVENIO , DIFERENTE DIRECCION</t>
  </si>
  <si>
    <t>0002-2024</t>
  </si>
  <si>
    <t>0044-2024</t>
  </si>
  <si>
    <t>0009-2024</t>
  </si>
  <si>
    <t>0010-2024</t>
  </si>
  <si>
    <t>0012-2024</t>
  </si>
  <si>
    <t>0013-2024</t>
  </si>
  <si>
    <t>0014-2024</t>
  </si>
  <si>
    <t>0015-2024</t>
  </si>
  <si>
    <t>0018-2024</t>
  </si>
  <si>
    <t>0019-2024</t>
  </si>
  <si>
    <t>0020-2024</t>
  </si>
  <si>
    <t>0023-2024</t>
  </si>
  <si>
    <t>0024-2024</t>
  </si>
  <si>
    <t>0025-2024</t>
  </si>
  <si>
    <t>0026-2024</t>
  </si>
  <si>
    <t>0028-2024</t>
  </si>
  <si>
    <t>0029-2024</t>
  </si>
  <si>
    <t>0031-2024</t>
  </si>
  <si>
    <t>0032-2024</t>
  </si>
  <si>
    <t>0033-2024</t>
  </si>
  <si>
    <t>0043-2024</t>
  </si>
  <si>
    <t>0001-2024</t>
  </si>
  <si>
    <t>0003-2024</t>
  </si>
  <si>
    <t>0045-2024</t>
  </si>
  <si>
    <t xml:space="preserve">0048-2024 </t>
  </si>
  <si>
    <t>0049-2024</t>
  </si>
  <si>
    <t>0054-2024</t>
  </si>
  <si>
    <t>0056-2024</t>
  </si>
  <si>
    <t>0057-2024</t>
  </si>
  <si>
    <t>0058-2024</t>
  </si>
  <si>
    <t>0060-2024</t>
  </si>
  <si>
    <t>0061-2024</t>
  </si>
  <si>
    <t>0161-2024</t>
  </si>
  <si>
    <t>0063-2024</t>
  </si>
  <si>
    <t>0067-2024</t>
  </si>
  <si>
    <t>0068-2024</t>
  </si>
  <si>
    <t>0069-2024</t>
  </si>
  <si>
    <t>0070-2024</t>
  </si>
  <si>
    <t>0071-2024</t>
  </si>
  <si>
    <t>0074-2024</t>
  </si>
  <si>
    <t>0075-2024</t>
  </si>
  <si>
    <t>0077-2024</t>
  </si>
  <si>
    <t>0079-2024</t>
  </si>
  <si>
    <t>0081-2024</t>
  </si>
  <si>
    <t>0083-2024</t>
  </si>
  <si>
    <t>0084-2024</t>
  </si>
  <si>
    <t>0085-2024</t>
  </si>
  <si>
    <t>0088-2024</t>
  </si>
  <si>
    <t>0093-2024</t>
  </si>
  <si>
    <t>0095-2024</t>
  </si>
  <si>
    <t>0096-2024</t>
  </si>
  <si>
    <t>0097-2024</t>
  </si>
  <si>
    <t>0098-2024</t>
  </si>
  <si>
    <t>0100-2024</t>
  </si>
  <si>
    <t>0101-2024</t>
  </si>
  <si>
    <t>0102-2024</t>
  </si>
  <si>
    <t>0104-2024</t>
  </si>
  <si>
    <t>0106-2024</t>
  </si>
  <si>
    <t>0108-2024</t>
  </si>
  <si>
    <t>0110-2024</t>
  </si>
  <si>
    <t>0113-2024</t>
  </si>
  <si>
    <t>0114-2024</t>
  </si>
  <si>
    <t>0116-2024</t>
  </si>
  <si>
    <t>0117-2024</t>
  </si>
  <si>
    <t>0118-2024</t>
  </si>
  <si>
    <t>0119-2024</t>
  </si>
  <si>
    <t>0120-2024</t>
  </si>
  <si>
    <t>0121-2024</t>
  </si>
  <si>
    <t>0122-2024</t>
  </si>
  <si>
    <t>0123-2024</t>
  </si>
  <si>
    <t>0124-2024</t>
  </si>
  <si>
    <t>0126-2024</t>
  </si>
  <si>
    <t>0127-2024</t>
  </si>
  <si>
    <t>0128-2024</t>
  </si>
  <si>
    <t>0129-2024</t>
  </si>
  <si>
    <t>0130-2024</t>
  </si>
  <si>
    <t>0131-2024</t>
  </si>
  <si>
    <t>0136-2024</t>
  </si>
  <si>
    <t>0137-2024</t>
  </si>
  <si>
    <t>0138-2024</t>
  </si>
  <si>
    <t>0140-2024</t>
  </si>
  <si>
    <t>0141-2024</t>
  </si>
  <si>
    <t>0142-2024</t>
  </si>
  <si>
    <t>0143-2024</t>
  </si>
  <si>
    <t>0144-2024</t>
  </si>
  <si>
    <t>0145-2024</t>
  </si>
  <si>
    <t>0146-2024</t>
  </si>
  <si>
    <t>0147-2024</t>
  </si>
  <si>
    <t>0148-2024</t>
  </si>
  <si>
    <t>0150-2024</t>
  </si>
  <si>
    <t>0151-2024</t>
  </si>
  <si>
    <t>0152-2024</t>
  </si>
  <si>
    <t>0153-2024</t>
  </si>
  <si>
    <t>0155-2024</t>
  </si>
  <si>
    <t>0156-2024</t>
  </si>
  <si>
    <t>0158-2024</t>
  </si>
  <si>
    <t>0157-2024</t>
  </si>
  <si>
    <t>0159-2024</t>
  </si>
  <si>
    <t>0160-2024</t>
  </si>
  <si>
    <t>0001-2025</t>
  </si>
  <si>
    <t>0002-2025</t>
  </si>
  <si>
    <t>0003-2025</t>
  </si>
  <si>
    <t>0005-2025</t>
  </si>
  <si>
    <t>0006-2025</t>
  </si>
  <si>
    <t>0008-2025</t>
  </si>
  <si>
    <t>0009-2025</t>
  </si>
  <si>
    <t>0010-2025</t>
  </si>
  <si>
    <t>0011-2025</t>
  </si>
  <si>
    <t>0012-2025</t>
  </si>
  <si>
    <t>0013-2025</t>
  </si>
  <si>
    <t>0015-2025</t>
  </si>
  <si>
    <t>0016-2025</t>
  </si>
  <si>
    <t>0014-2025</t>
  </si>
  <si>
    <t>0017-2025</t>
  </si>
  <si>
    <t>0018-2025</t>
  </si>
  <si>
    <t>0019-2025</t>
  </si>
  <si>
    <t>0020-2025</t>
  </si>
  <si>
    <t>0021-2025</t>
  </si>
  <si>
    <t>0022-2025</t>
  </si>
  <si>
    <t>0023-2025</t>
  </si>
  <si>
    <t>0024-2025</t>
  </si>
  <si>
    <t>0025-2025</t>
  </si>
  <si>
    <t>0026-2025</t>
  </si>
  <si>
    <t>0027-2025</t>
  </si>
  <si>
    <t>0028-2025</t>
  </si>
  <si>
    <t>0029-2025</t>
  </si>
  <si>
    <t>0030-2025</t>
  </si>
  <si>
    <t>0031-2025</t>
  </si>
  <si>
    <t>0033-2025</t>
  </si>
  <si>
    <t>0034-2025</t>
  </si>
  <si>
    <t>0037-2025</t>
  </si>
  <si>
    <t>0038-2025</t>
  </si>
  <si>
    <t>0011-2024</t>
  </si>
  <si>
    <t>0007-2025</t>
  </si>
  <si>
    <t>0109-2024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</si>
</sst>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>
    <font>
      <sz val="11"/>
      <name val="Carlito"/>
    </font>
    <font>
      <b/>
      <sz val="14"/>
      <color rgb="FFFFFFFF"/>
      <name val="Carlito"/>
    </font>
    <font>
      <i/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8"/>
      <name val="Carlito"/>
    </font>
  </fonts>
  <fills count="1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3F6F8"/>
      </patternFill>
    </fill>
    <fill>
      <patternFill patternType="solid">
        <fgColor rgb="FF0B6F61"/>
      </patternFill>
    </fill>
    <fill>
      <patternFill patternType="solid">
        <fgColor rgb="FFFFF2CC"/>
      </patternFill>
    </fill>
    <fill>
      <patternFill patternType="solid">
        <fgColor rgb="FF0F766E"/>
      </patternFill>
    </fill>
    <fill>
      <patternFill patternType="solid">
        <fgColor rgb="FFF8FAFC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4" borderId="0" xfId="0" applyNumberFormat="1" applyFont="1" applyFill="1" applyBorder="1" applyAlignment="1">
      <alignment horizontal="center" wrapText="1"/>
    </xf>
    <xf numFmtId="0" fontId="3" fillId="4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164" fontId="0" fillId="0" borderId="0" xfId="0" applyNumberFormat="1" applyFont="1" applyFill="1" applyBorder="1" applyAlignment="1">
      <alignment wrapText="1"/>
    </xf>
    <xf numFmtId="1" fontId="0" fillId="0" borderId="0" xfId="0" applyNumberFormat="1" applyFont="1" applyFill="1" applyBorder="1" applyAlignment="1">
      <alignment wrapText="1"/>
    </xf>
    <xf numFmtId="0" fontId="0" fillId="0" borderId="1" xfId="0" applyNumberFormat="1" applyFont="1" applyFill="1" applyBorder="1" applyAlignment="1">
      <alignment vertical="center" wrapText="1"/>
    </xf>
    <xf numFmtId="164" fontId="0" fillId="0" borderId="1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 applyAlignment="1">
      <alignment wrapText="1"/>
    </xf>
    <xf numFmtId="0" fontId="0" fillId="0" borderId="0" xfId="0"/>
    <xf numFmtId="0" fontId="4" fillId="5" borderId="0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0" fillId="0" borderId="1" xfId="0" applyNumberFormat="1" applyFont="1" applyFill="1" applyBorder="1" applyAlignment="1">
      <alignment horizontal="center" vertical="center" wrapText="1"/>
    </xf>
    <xf numFmtId="0" fontId="0" fillId="8" borderId="1" xfId="0" applyNumberFormat="1" applyFont="1" applyFill="1" applyBorder="1" applyAlignment="1">
      <alignment vertical="center" wrapText="1"/>
    </xf>
    <xf numFmtId="164" fontId="0" fillId="8" borderId="1" xfId="0" applyNumberFormat="1" applyFont="1" applyFill="1" applyBorder="1" applyAlignment="1">
      <alignment vertical="center" wrapText="1"/>
    </xf>
    <xf numFmtId="0" fontId="0" fillId="8" borderId="1" xfId="0" applyNumberFormat="1" applyFont="1" applyFill="1" applyBorder="1" applyAlignment="1">
      <alignment horizontal="center" vertical="center" wrapText="1"/>
    </xf>
    <xf numFmtId="1" fontId="0" fillId="8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/>
    <xf numFmtId="0" fontId="0" fillId="8" borderId="0" xfId="0" applyFill="1" applyAlignment="1">
      <alignment horizontal="center" vertical="center" wrapText="1"/>
    </xf>
    <xf numFmtId="0" fontId="0" fillId="0" borderId="0" xfId="0"/>
    <xf numFmtId="0" fontId="0" fillId="9" borderId="1" xfId="0" applyNumberFormat="1" applyFont="1" applyFill="1" applyBorder="1" applyAlignment="1">
      <alignment vertical="center" wrapText="1"/>
    </xf>
    <xf numFmtId="0" fontId="0" fillId="11" borderId="1" xfId="0" applyNumberFormat="1" applyFont="1" applyFill="1" applyBorder="1" applyAlignment="1">
      <alignment vertical="center" wrapText="1"/>
    </xf>
    <xf numFmtId="0" fontId="0" fillId="12" borderId="1" xfId="0" applyNumberFormat="1" applyFont="1" applyFill="1" applyBorder="1" applyAlignment="1">
      <alignment vertical="center" wrapText="1"/>
    </xf>
    <xf numFmtId="0" fontId="0" fillId="0" borderId="1" xfId="0" applyNumberFormat="1" applyFont="1" applyFill="1" applyBorder="1" applyAlignment="1">
      <alignment horizontal="right" vertical="center" wrapText="1"/>
    </xf>
    <xf numFmtId="0" fontId="0" fillId="8" borderId="1" xfId="0" applyNumberFormat="1" applyFont="1" applyFill="1" applyBorder="1" applyAlignment="1">
      <alignment horizontal="right" vertical="center" wrapText="1"/>
    </xf>
    <xf numFmtId="0" fontId="0" fillId="10" borderId="1" xfId="0" applyNumberFormat="1" applyFont="1" applyFill="1" applyBorder="1" applyAlignment="1">
      <alignment horizontal="right" vertical="center" wrapText="1"/>
    </xf>
    <xf numFmtId="0" fontId="0" fillId="0" borderId="1" xfId="0" applyNumberFormat="1" applyFont="1" applyFill="1" applyBorder="1" applyAlignment="1">
      <alignment horizontal="left" vertical="center" wrapText="1"/>
    </xf>
    <xf numFmtId="0" fontId="0" fillId="0" borderId="2" xfId="0" applyNumberFormat="1" applyFont="1" applyFill="1" applyBorder="1" applyAlignment="1">
      <alignment vertical="center" wrapText="1"/>
    </xf>
    <xf numFmtId="0" fontId="0" fillId="0" borderId="2" xfId="0" applyNumberFormat="1" applyFont="1" applyFill="1" applyBorder="1" applyAlignment="1">
      <alignment horizontal="center" vertical="center" wrapText="1"/>
    </xf>
    <xf numFmtId="0" fontId="0" fillId="0" borderId="2" xfId="0" applyNumberFormat="1" applyFont="1" applyFill="1" applyBorder="1" applyAlignment="1">
      <alignment horizontal="right" vertical="center" wrapText="1"/>
    </xf>
    <xf numFmtId="164" fontId="0" fillId="0" borderId="2" xfId="0" applyNumberFormat="1" applyFont="1" applyFill="1" applyBorder="1" applyAlignment="1">
      <alignment vertical="center" wrapText="1"/>
    </xf>
    <xf numFmtId="1" fontId="0" fillId="0" borderId="2" xfId="0" applyNumberFormat="1" applyFont="1" applyFill="1" applyBorder="1" applyAlignment="1">
      <alignment horizontal="center" vertical="center" wrapText="1"/>
    </xf>
    <xf numFmtId="14" fontId="0" fillId="0" borderId="1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 applyAlignment="1">
      <alignment horizontal="center" vertical="center" wrapText="1"/>
    </xf>
    <xf numFmtId="1" fontId="0" fillId="0" borderId="0" xfId="0" applyNumberFormat="1" applyFont="1" applyFill="1" applyBorder="1" applyAlignment="1">
      <alignment horizontal="center" vertical="center" wrapText="1"/>
    </xf>
    <xf numFmtId="0" fontId="2" fillId="3" borderId="0" xfId="0" applyNumberFormat="1" applyFont="1" applyFill="1" applyBorder="1" applyAlignment="1">
      <alignment wrapText="1"/>
    </xf>
    <xf numFmtId="0" fontId="0" fillId="0" borderId="0" xfId="0"/>
    <xf numFmtId="0" fontId="1" fillId="2" borderId="0" xfId="0" applyNumberFormat="1" applyFont="1" applyFill="1" applyBorder="1" applyAlignment="1">
      <alignment horizontal="center"/>
    </xf>
    <xf numFmtId="0" fontId="0" fillId="7" borderId="2" xfId="0" applyFill="1" applyBorder="1" applyAlignment="1">
      <alignment wrapText="1"/>
    </xf>
    <xf numFmtId="49" fontId="0" fillId="0" borderId="0" xfId="0" applyNumberFormat="1" applyFont="1" applyFill="1" applyBorder="1"/>
    <xf numFmtId="0" fontId="3" fillId="6" borderId="2" xfId="0" applyFont="1" applyFill="1" applyBorder="1" applyAlignment="1">
      <alignment horizontal="center"/>
    </xf>
  </cellXfs>
  <cellStyles count="1">
    <cellStyle name="Normal" xfId="0" builtinId="0"/>
  </cellStyles>
  <dxfs count="150"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BF9000"/>
      </font>
      <fill>
        <patternFill patternType="solid">
          <bgColor rgb="FFFFF2CC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BF9000"/>
      </font>
      <fill>
        <patternFill patternType="solid">
          <bgColor rgb="FFFFF2CC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BF9000"/>
      </font>
      <fill>
        <patternFill patternType="solid">
          <bgColor rgb="FFFFF2CC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BF9000"/>
      </font>
      <fill>
        <patternFill patternType="solid">
          <bgColor rgb="FFFFF2CC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BF9000"/>
      </font>
      <fill>
        <patternFill patternType="solid">
          <bgColor rgb="FFFFF2CC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BF9000"/>
      </font>
      <fill>
        <patternFill patternType="solid">
          <bgColor rgb="FFFFF2CC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BF9000"/>
      </font>
      <fill>
        <patternFill patternType="solid">
          <bgColor rgb="FFFFF2CC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BF9000"/>
      </font>
      <fill>
        <patternFill patternType="solid">
          <bgColor rgb="FFFFF2CC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BF9000"/>
      </font>
      <fill>
        <patternFill patternType="solid">
          <bgColor rgb="FFFFF2CC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BF9000"/>
      </font>
      <fill>
        <patternFill patternType="solid">
          <bgColor rgb="FFFFF2CC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BF9000"/>
      </font>
      <fill>
        <patternFill patternType="solid">
          <bgColor rgb="FFFFF2CC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BF9000"/>
      </font>
      <fill>
        <patternFill patternType="solid">
          <bgColor rgb="FFFFF2CC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BF9000"/>
      </font>
      <fill>
        <patternFill patternType="solid">
          <bgColor rgb="FFFFF2CC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BF9000"/>
      </font>
      <fill>
        <patternFill patternType="solid">
          <bgColor rgb="FFFFF2CC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BF9000"/>
      </font>
      <fill>
        <patternFill patternType="solid">
          <bgColor rgb="FFFFF2CC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BF9000"/>
      </font>
      <fill>
        <patternFill patternType="solid">
          <bgColor rgb="FFFFF2CC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BF9000"/>
      </font>
      <fill>
        <patternFill patternType="solid">
          <bgColor rgb="FFFFF2CC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BF9000"/>
      </font>
      <fill>
        <patternFill patternType="solid">
          <bgColor rgb="FFFFF2CC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BF9000"/>
      </font>
      <fill>
        <patternFill patternType="solid">
          <bgColor rgb="FFFFF2CC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BF9000"/>
      </font>
      <fill>
        <patternFill patternType="solid">
          <bgColor rgb="FFFFF2CC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BF9000"/>
      </font>
      <fill>
        <patternFill patternType="solid">
          <bgColor rgb="FFFFF2CC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BF9000"/>
      </font>
      <fill>
        <patternFill patternType="solid">
          <bgColor rgb="FFFFF2CC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BF9000"/>
      </font>
      <fill>
        <patternFill patternType="solid">
          <bgColor rgb="FFFFF2CC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BF9000"/>
      </font>
      <fill>
        <patternFill patternType="solid">
          <bgColor rgb="FFFFF2CC"/>
        </patternFill>
      </fill>
    </dxf>
    <dxf>
      <font>
        <b/>
        <color rgb="FF38761D"/>
      </font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Convenios" displayName="TablaConvenios" ref="A4:Q398">
  <autoFilter ref="A4:Q398" xr:uid="{00000000-000C-0000-FFFF-FFFF00000000}"/>
  <sortState xmlns:xlrd2="http://schemas.microsoft.com/office/spreadsheetml/2017/richdata2" ref="A6:Q264">
    <sortCondition sortBy="cellColor" ref="H4:H398" dxfId="8"/>
  </sortState>
  <tableColumns count="17">
    <tableColumn id="1" xr3:uid="{00000000-0010-0000-0000-000001000000}" name="ID_CONVENIO"/>
    <tableColumn id="2" xr3:uid="{00000000-0010-0000-0000-000002000000}" name="NRO_CONVENIO"/>
    <tableColumn id="3" xr3:uid="{00000000-0010-0000-0000-000003000000}" name="AÑO" dataDxfId="7"/>
    <tableColumn id="4" xr3:uid="{00000000-0010-0000-0000-000004000000}" name="EMPRESA_INSTITUCION"/>
    <tableColumn id="5" xr3:uid="{00000000-0010-0000-0000-000005000000}" name="RUC" dataDxfId="6"/>
    <tableColumn id="6" xr3:uid="{00000000-0010-0000-0000-000006000000}" name="DIRECCION"/>
    <tableColumn id="7" xr3:uid="{00000000-0010-0000-0000-000007000000}" name="REPRESENTANTE"/>
    <tableColumn id="8" xr3:uid="{00000000-0010-0000-0000-000008000000}" name="DNI_REPRESENTANTE" dataDxfId="5"/>
    <tableColumn id="9" xr3:uid="{00000000-0010-0000-0000-000009000000}" name="TELEFONO" dataDxfId="4"/>
    <tableColumn id="10" xr3:uid="{00000000-0010-0000-0000-00000A000000}" name="PROGRAMA_FORMATIVO"/>
    <tableColumn id="11" xr3:uid="{00000000-0010-0000-0000-00000B000000}" name="FECHA_INICIO"/>
    <tableColumn id="12" xr3:uid="{00000000-0010-0000-0000-00000C000000}" name="DURACION_AÑOS" dataDxfId="3"/>
    <tableColumn id="13" xr3:uid="{00000000-0010-0000-0000-00000D000000}" name="FECHA_FIN"/>
    <tableColumn id="14" xr3:uid="{00000000-0010-0000-0000-00000E000000}" name="DIAS_RESTANTES" dataDxfId="2"/>
    <tableColumn id="15" xr3:uid="{00000000-0010-0000-0000-00000F000000}" name="ESTADO" dataDxfId="1"/>
    <tableColumn id="16" xr3:uid="{00000000-0010-0000-0000-000010000000}" name="CLAVE_BUSQUEDA"/>
    <tableColumn id="17" xr3:uid="{116E0FAC-9258-4B86-8F08-DE3E9D8D1374}" name="OBSERVACION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99"/>
  <sheetViews>
    <sheetView tabSelected="1" topLeftCell="A22" zoomScale="80" zoomScaleNormal="80" workbookViewId="0">
      <selection activeCell="G35" sqref="G35"/>
    </sheetView>
  </sheetViews>
  <sheetFormatPr baseColWidth="10" defaultColWidth="8.75" defaultRowHeight="14.25"/>
  <cols>
    <col min="1" max="1" width="18" customWidth="1"/>
    <col min="2" max="2" width="16" customWidth="1"/>
    <col min="3" max="3" width="10" style="12" customWidth="1"/>
    <col min="4" max="4" width="34" customWidth="1"/>
    <col min="5" max="5" width="16" customWidth="1"/>
    <col min="6" max="6" width="38" customWidth="1"/>
    <col min="7" max="7" width="28" customWidth="1"/>
    <col min="8" max="8" width="21.5" customWidth="1"/>
    <col min="9" max="9" width="16" customWidth="1"/>
    <col min="10" max="10" width="24" customWidth="1"/>
    <col min="11" max="11" width="16" customWidth="1"/>
    <col min="12" max="12" width="16.875" style="12" bestFit="1" customWidth="1"/>
    <col min="13" max="13" width="16" customWidth="1"/>
    <col min="14" max="15" width="16" style="12" customWidth="1"/>
    <col min="16" max="16" width="48" customWidth="1"/>
    <col min="17" max="17" width="37.375" customWidth="1"/>
  </cols>
  <sheetData>
    <row r="1" spans="1:17" ht="18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>
      <c r="A2" s="39" t="s">
        <v>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</row>
    <row r="4" spans="1:17" ht="22.15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t="s">
        <v>1030</v>
      </c>
    </row>
    <row r="5" spans="1:17" ht="28.15" customHeight="1">
      <c r="A5" s="6" t="s">
        <v>18</v>
      </c>
      <c r="B5" s="6" t="s">
        <v>1274</v>
      </c>
      <c r="C5" s="11">
        <v>2024</v>
      </c>
      <c r="D5" s="6" t="s">
        <v>19</v>
      </c>
      <c r="E5" s="11">
        <v>20510752938</v>
      </c>
      <c r="F5" s="6" t="s">
        <v>20</v>
      </c>
      <c r="G5" s="6" t="s">
        <v>21</v>
      </c>
      <c r="H5" s="26">
        <v>26641673</v>
      </c>
      <c r="I5" s="26"/>
      <c r="J5" s="6" t="s">
        <v>1246</v>
      </c>
      <c r="K5" s="7">
        <v>45393</v>
      </c>
      <c r="L5" s="11">
        <v>3</v>
      </c>
      <c r="M5" s="7">
        <f t="shared" ref="M5" si="0">IF(OR(K5="",L5=""),"",DATE(YEAR(K5)+L5,MONTH(K5),DAY(K5))-1)</f>
        <v>46487</v>
      </c>
      <c r="N5" s="13">
        <f t="shared" ref="N5" ca="1" si="1">IF(M5="","",M5-TODAY())</f>
        <v>268</v>
      </c>
      <c r="O5" s="11" t="str">
        <f t="shared" ref="O5" ca="1" si="2">IF(M5="","SIN FECHA",IF(M5&lt;TODAY(),"VENCIDO",IF(M5-TODAY()&lt;=30,"POR VENCER","VIGENTE")))</f>
        <v>VIGENTE</v>
      </c>
      <c r="P5" s="6" t="str">
        <f t="shared" ref="P5" si="3">UPPER(TRIM(E5&amp;" "&amp;D5&amp;" "&amp;G5&amp;" "&amp;H5&amp;" "&amp;I5&amp;" "&amp;B5&amp;" "&amp;J5))</f>
        <v>20510752938 MANTENIMIENTO INDUSTRIAL Y COMERCIAL SAC ELMER VILCHEZ ROMERO 26641673 0001-2024 ELECTRICIDAD</v>
      </c>
      <c r="Q5" s="18"/>
    </row>
    <row r="6" spans="1:17" ht="28.15" customHeight="1">
      <c r="A6" s="6" t="s">
        <v>1065</v>
      </c>
      <c r="B6" s="6" t="s">
        <v>1152</v>
      </c>
      <c r="C6" s="11">
        <v>2026</v>
      </c>
      <c r="D6" s="6" t="s">
        <v>803</v>
      </c>
      <c r="E6" s="11">
        <v>10748855861</v>
      </c>
      <c r="F6" s="6" t="s">
        <v>804</v>
      </c>
      <c r="G6" s="6" t="s">
        <v>805</v>
      </c>
      <c r="H6" s="26">
        <v>74885586</v>
      </c>
      <c r="I6" s="26">
        <v>932822613</v>
      </c>
      <c r="J6" s="6" t="s">
        <v>1248</v>
      </c>
      <c r="K6" s="7">
        <v>46175</v>
      </c>
      <c r="L6" s="11">
        <v>3</v>
      </c>
      <c r="M6" s="7">
        <f t="shared" ref="M6:M37" si="4">IF(OR(K6="",L6=""),"",DATE(YEAR(K6)+L6,MONTH(K6),DAY(K6))-1)</f>
        <v>47270</v>
      </c>
      <c r="N6" s="13">
        <f t="shared" ref="N6:N37" ca="1" si="5">IF(M6="","",M6-TODAY())</f>
        <v>1051</v>
      </c>
      <c r="O6" s="11" t="str">
        <f t="shared" ref="O6:O37" ca="1" si="6">IF(M6="","SIN FECHA",IF(M6&lt;TODAY(),"VENCIDO",IF(M6-TODAY()&lt;=30,"POR VENCER","VIGENTE")))</f>
        <v>VIGENTE</v>
      </c>
      <c r="P6" s="6" t="str">
        <f t="shared" ref="P6:P37" si="7">UPPER(TRIM(E6&amp;" "&amp;D6&amp;" "&amp;G6&amp;" "&amp;H6&amp;" "&amp;I6&amp;" "&amp;B6&amp;" "&amp;J6))</f>
        <v>10748855861 CONFECCIONES JUNE MODA PERÚ NANCY KARINA CHUQUIMANGO LÓPEZ 74885586 932822613 0032-2026 TEXTIL Y CONFECCIÓN</v>
      </c>
      <c r="Q6" s="18"/>
    </row>
    <row r="7" spans="1:17" ht="28.15" customHeight="1">
      <c r="A7" s="6" t="s">
        <v>1085</v>
      </c>
      <c r="B7" s="6" t="s">
        <v>1171</v>
      </c>
      <c r="C7" s="11">
        <v>2026</v>
      </c>
      <c r="D7" s="6" t="s">
        <v>764</v>
      </c>
      <c r="E7" s="11">
        <v>10267317785</v>
      </c>
      <c r="F7" s="6" t="s">
        <v>882</v>
      </c>
      <c r="G7" s="6" t="s">
        <v>766</v>
      </c>
      <c r="H7" s="26">
        <v>26731778</v>
      </c>
      <c r="I7" s="26">
        <v>976304275</v>
      </c>
      <c r="J7" s="6" t="s">
        <v>1248</v>
      </c>
      <c r="K7" s="7">
        <v>46188</v>
      </c>
      <c r="L7" s="11">
        <v>3</v>
      </c>
      <c r="M7" s="7">
        <f t="shared" si="4"/>
        <v>47283</v>
      </c>
      <c r="N7" s="13">
        <f t="shared" ca="1" si="5"/>
        <v>1064</v>
      </c>
      <c r="O7" s="11" t="str">
        <f t="shared" ca="1" si="6"/>
        <v>VIGENTE</v>
      </c>
      <c r="P7" s="6" t="str">
        <f t="shared" si="7"/>
        <v>10267317785 CREACIONES JHENY JHENY ELIZABETH GUTIÉRREZ YOPLA 26731778 976304275 0059-2026 TEXTIL Y CONFECCIÓN</v>
      </c>
      <c r="Q7" s="18"/>
    </row>
    <row r="8" spans="1:17" ht="28.15" customHeight="1">
      <c r="A8" s="6" t="s">
        <v>140</v>
      </c>
      <c r="B8" s="6" t="s">
        <v>1254</v>
      </c>
      <c r="C8" s="11">
        <v>2024</v>
      </c>
      <c r="D8" s="6" t="s">
        <v>144</v>
      </c>
      <c r="E8" s="11">
        <v>1026682121</v>
      </c>
      <c r="F8" s="6" t="s">
        <v>145</v>
      </c>
      <c r="G8" s="6" t="s">
        <v>146</v>
      </c>
      <c r="H8" s="26">
        <v>43219846</v>
      </c>
      <c r="I8" s="26"/>
      <c r="J8" s="25" t="s">
        <v>1245</v>
      </c>
      <c r="K8" s="7">
        <v>45463</v>
      </c>
      <c r="L8" s="11">
        <v>3</v>
      </c>
      <c r="M8" s="7">
        <f t="shared" si="4"/>
        <v>46557</v>
      </c>
      <c r="N8" s="13">
        <f t="shared" ca="1" si="5"/>
        <v>338</v>
      </c>
      <c r="O8" s="11" t="str">
        <f t="shared" ca="1" si="6"/>
        <v>VIGENTE</v>
      </c>
      <c r="P8" s="6" t="str">
        <f t="shared" si="7"/>
        <v>1026682121 LA I.E ZOILA AURORA DE SANCHEZ LA TORRE ANTONIO LEON QUISPE 43219846 0044-2024 COMPUTACIÓN E INFORMÁTICA</v>
      </c>
      <c r="Q8" s="18" t="s">
        <v>1215</v>
      </c>
    </row>
    <row r="9" spans="1:17" ht="28.15" customHeight="1">
      <c r="A9" s="6" t="s">
        <v>655</v>
      </c>
      <c r="B9" s="6" t="s">
        <v>656</v>
      </c>
      <c r="C9" s="11">
        <v>2025</v>
      </c>
      <c r="D9" s="6" t="s">
        <v>657</v>
      </c>
      <c r="E9" s="11">
        <v>20612806188</v>
      </c>
      <c r="F9" s="6" t="s">
        <v>633</v>
      </c>
      <c r="G9" s="6" t="s">
        <v>658</v>
      </c>
      <c r="H9" s="26">
        <v>41634533</v>
      </c>
      <c r="I9" s="26"/>
      <c r="J9" s="6" t="s">
        <v>487</v>
      </c>
      <c r="K9" s="7">
        <v>45722</v>
      </c>
      <c r="L9" s="11">
        <v>3</v>
      </c>
      <c r="M9" s="7">
        <f t="shared" si="4"/>
        <v>46817</v>
      </c>
      <c r="N9" s="13">
        <f t="shared" ca="1" si="5"/>
        <v>598</v>
      </c>
      <c r="O9" s="11" t="str">
        <f t="shared" ca="1" si="6"/>
        <v>VIGENTE</v>
      </c>
      <c r="P9" s="6" t="str">
        <f t="shared" si="7"/>
        <v>20612806188 INVERSIONES COMPANY CUS EIRL GERMAN CUSQUISIBAN CARMONA 41634533 0056-2025 ESTILISMO</v>
      </c>
      <c r="Q9" s="18"/>
    </row>
    <row r="10" spans="1:17" ht="28.15" customHeight="1">
      <c r="A10" s="6" t="s">
        <v>58</v>
      </c>
      <c r="B10" s="6" t="s">
        <v>1255</v>
      </c>
      <c r="C10" s="11">
        <v>2024</v>
      </c>
      <c r="D10" s="6" t="s">
        <v>59</v>
      </c>
      <c r="E10" s="11">
        <v>10742511923</v>
      </c>
      <c r="F10" s="6" t="s">
        <v>60</v>
      </c>
      <c r="G10" s="6" t="s">
        <v>61</v>
      </c>
      <c r="H10" s="26">
        <v>74251192</v>
      </c>
      <c r="I10" s="26"/>
      <c r="J10" s="6" t="s">
        <v>487</v>
      </c>
      <c r="K10" s="7">
        <v>45421</v>
      </c>
      <c r="L10" s="11">
        <v>3</v>
      </c>
      <c r="M10" s="7">
        <f t="shared" si="4"/>
        <v>46515</v>
      </c>
      <c r="N10" s="13">
        <f t="shared" ca="1" si="5"/>
        <v>296</v>
      </c>
      <c r="O10" s="11" t="str">
        <f t="shared" ca="1" si="6"/>
        <v>VIGENTE</v>
      </c>
      <c r="P10" s="6" t="str">
        <f t="shared" si="7"/>
        <v>10742511923 PELUQUERIAY OTROSTRATAMIENTOS DE BELLEZA "KALEED" ARCE SUAREZ CINTHYA DEL ROSARIO 74251192 0009-2024 ESTILISMO</v>
      </c>
      <c r="Q10" s="18"/>
    </row>
    <row r="11" spans="1:17" ht="28.15" customHeight="1">
      <c r="A11" s="6" t="s">
        <v>62</v>
      </c>
      <c r="B11" s="6" t="s">
        <v>1256</v>
      </c>
      <c r="C11" s="11">
        <v>2024</v>
      </c>
      <c r="D11" s="6" t="s">
        <v>63</v>
      </c>
      <c r="E11" s="11">
        <v>10267157796</v>
      </c>
      <c r="F11" s="6" t="s">
        <v>64</v>
      </c>
      <c r="G11" s="6" t="s">
        <v>65</v>
      </c>
      <c r="H11" s="26">
        <v>26715779</v>
      </c>
      <c r="I11" s="26"/>
      <c r="J11" s="6" t="s">
        <v>1247</v>
      </c>
      <c r="K11" s="7">
        <v>45448</v>
      </c>
      <c r="L11" s="11">
        <v>3</v>
      </c>
      <c r="M11" s="7">
        <f t="shared" si="4"/>
        <v>46542</v>
      </c>
      <c r="N11" s="13">
        <f t="shared" ca="1" si="5"/>
        <v>323</v>
      </c>
      <c r="O11" s="11" t="str">
        <f t="shared" ca="1" si="6"/>
        <v>VIGENTE</v>
      </c>
      <c r="P11" s="6" t="str">
        <f t="shared" si="7"/>
        <v>10267157796 HATUNWASI CACHI CERNA AMALIA MERCEDES 26715779 0010-2024 PANIFICACIÓN INDUSTRIAL</v>
      </c>
      <c r="Q11" s="18"/>
    </row>
    <row r="12" spans="1:17" ht="28.15" customHeight="1">
      <c r="A12" s="6" t="s">
        <v>1116</v>
      </c>
      <c r="B12" s="6" t="s">
        <v>1203</v>
      </c>
      <c r="C12" s="11">
        <v>2026</v>
      </c>
      <c r="D12" s="6" t="s">
        <v>988</v>
      </c>
      <c r="E12" s="11">
        <v>20611177497</v>
      </c>
      <c r="F12" s="6" t="s">
        <v>989</v>
      </c>
      <c r="G12" s="6" t="s">
        <v>198</v>
      </c>
      <c r="H12" s="26">
        <v>10603700</v>
      </c>
      <c r="I12" s="26">
        <v>962581717</v>
      </c>
      <c r="J12" s="6" t="s">
        <v>487</v>
      </c>
      <c r="K12" s="7">
        <v>46188</v>
      </c>
      <c r="L12" s="11">
        <v>3</v>
      </c>
      <c r="M12" s="7">
        <f t="shared" si="4"/>
        <v>47283</v>
      </c>
      <c r="N12" s="13">
        <f t="shared" ca="1" si="5"/>
        <v>1064</v>
      </c>
      <c r="O12" s="11" t="str">
        <f t="shared" ca="1" si="6"/>
        <v>VIGENTE</v>
      </c>
      <c r="P12" s="6" t="str">
        <f t="shared" si="7"/>
        <v>20611177497 PATTY SALÓN SPA Y BARBERIA
 PATRICIA CASTOPE CHUNQUE 10603700 962581717 0095-2026 ESTILISMO</v>
      </c>
      <c r="Q12" s="18" t="s">
        <v>1239</v>
      </c>
    </row>
    <row r="13" spans="1:17" ht="28.15" customHeight="1">
      <c r="A13" s="6" t="s">
        <v>44</v>
      </c>
      <c r="B13" s="6" t="s">
        <v>1253</v>
      </c>
      <c r="C13" s="11">
        <v>2024</v>
      </c>
      <c r="D13" s="6" t="s">
        <v>45</v>
      </c>
      <c r="E13" s="11">
        <v>20608339141</v>
      </c>
      <c r="F13" s="6" t="s">
        <v>46</v>
      </c>
      <c r="G13" s="6" t="s">
        <v>47</v>
      </c>
      <c r="H13" s="26">
        <v>48170918</v>
      </c>
      <c r="I13" s="26"/>
      <c r="J13" s="6" t="s">
        <v>1244</v>
      </c>
      <c r="K13" s="7">
        <v>45419</v>
      </c>
      <c r="L13" s="11">
        <v>3</v>
      </c>
      <c r="M13" s="7">
        <f t="shared" si="4"/>
        <v>46513</v>
      </c>
      <c r="N13" s="13">
        <f t="shared" ca="1" si="5"/>
        <v>294</v>
      </c>
      <c r="O13" s="11" t="str">
        <f t="shared" ca="1" si="6"/>
        <v>VIGENTE</v>
      </c>
      <c r="P13" s="6" t="str">
        <f t="shared" si="7"/>
        <v>20608339141 ATLANTICO H&amp;H LA SOCIEDAD COMERCIAL DE RESPONSABILIDAD ILIMITADA VICTOR GIANCARLO HEREDIA 48170918 0002-2024 ADMINISTRACIÓN Y COMERCIO</v>
      </c>
      <c r="Q13" s="18"/>
    </row>
    <row r="14" spans="1:17" ht="28.15" customHeight="1">
      <c r="A14" s="6" t="s">
        <v>73</v>
      </c>
      <c r="B14" s="6" t="s">
        <v>1257</v>
      </c>
      <c r="C14" s="11">
        <v>2024</v>
      </c>
      <c r="D14" s="6" t="s">
        <v>74</v>
      </c>
      <c r="E14" s="11">
        <v>1072081951</v>
      </c>
      <c r="F14" s="6" t="s">
        <v>75</v>
      </c>
      <c r="G14" s="6" t="s">
        <v>76</v>
      </c>
      <c r="H14" s="26">
        <v>72081951</v>
      </c>
      <c r="I14" s="26"/>
      <c r="J14" s="6" t="s">
        <v>487</v>
      </c>
      <c r="K14" s="7">
        <v>45448</v>
      </c>
      <c r="L14" s="11">
        <v>3</v>
      </c>
      <c r="M14" s="7">
        <f t="shared" si="4"/>
        <v>46542</v>
      </c>
      <c r="N14" s="13">
        <f t="shared" ca="1" si="5"/>
        <v>323</v>
      </c>
      <c r="O14" s="11" t="str">
        <f t="shared" ca="1" si="6"/>
        <v>VIGENTE</v>
      </c>
      <c r="P14" s="6" t="str">
        <f t="shared" si="7"/>
        <v>1072081951 PELUQUERIA-UNIIXEX REYHNE-SALON HERNANDEZ RIVERA NERIDA 72081951 0012-2024 ESTILISMO</v>
      </c>
      <c r="Q14" s="18"/>
    </row>
    <row r="15" spans="1:17" ht="28.15" customHeight="1">
      <c r="A15" s="6" t="s">
        <v>77</v>
      </c>
      <c r="B15" s="6" t="s">
        <v>1258</v>
      </c>
      <c r="C15" s="11">
        <v>2024</v>
      </c>
      <c r="D15" s="6" t="s">
        <v>78</v>
      </c>
      <c r="E15" s="11">
        <v>20491799103</v>
      </c>
      <c r="F15" s="6" t="s">
        <v>79</v>
      </c>
      <c r="G15" s="6" t="s">
        <v>80</v>
      </c>
      <c r="H15" s="26">
        <v>26703404</v>
      </c>
      <c r="I15" s="26"/>
      <c r="J15" s="6" t="s">
        <v>1244</v>
      </c>
      <c r="K15" s="7">
        <v>45464</v>
      </c>
      <c r="L15" s="11">
        <v>3</v>
      </c>
      <c r="M15" s="7">
        <f t="shared" si="4"/>
        <v>46558</v>
      </c>
      <c r="N15" s="13">
        <f t="shared" ca="1" si="5"/>
        <v>339</v>
      </c>
      <c r="O15" s="11" t="str">
        <f t="shared" ca="1" si="6"/>
        <v>VIGENTE</v>
      </c>
      <c r="P15" s="6" t="str">
        <f t="shared" si="7"/>
        <v>20491799103 REY PALACE HOTEL SRL ENRIQUE ROJAS ALVA 26703404 0013-2024 ADMINISTRACIÓN Y COMERCIO</v>
      </c>
      <c r="Q15" s="18"/>
    </row>
    <row r="16" spans="1:17" ht="28.15" customHeight="1">
      <c r="A16" s="6" t="s">
        <v>81</v>
      </c>
      <c r="B16" s="6" t="s">
        <v>1259</v>
      </c>
      <c r="C16" s="11">
        <v>2024</v>
      </c>
      <c r="D16" s="6" t="s">
        <v>82</v>
      </c>
      <c r="E16" s="11">
        <v>10732326354</v>
      </c>
      <c r="F16" s="6" t="s">
        <v>83</v>
      </c>
      <c r="G16" s="6" t="s">
        <v>84</v>
      </c>
      <c r="H16" s="26">
        <v>73232635</v>
      </c>
      <c r="I16" s="26"/>
      <c r="J16" s="24" t="s">
        <v>487</v>
      </c>
      <c r="K16" s="7">
        <v>45448</v>
      </c>
      <c r="L16" s="11">
        <v>3</v>
      </c>
      <c r="M16" s="7">
        <f t="shared" si="4"/>
        <v>46542</v>
      </c>
      <c r="N16" s="13">
        <f t="shared" ca="1" si="5"/>
        <v>323</v>
      </c>
      <c r="O16" s="11" t="str">
        <f t="shared" ca="1" si="6"/>
        <v>VIGENTE</v>
      </c>
      <c r="P16" s="6" t="str">
        <f t="shared" si="7"/>
        <v>10732326354 ANGELICA SUMARAN SALON &amp; SPA ZUMARAN CABELLOS ANGELICA MARIA 73232635 0014-2024 ESTILISMO</v>
      </c>
      <c r="Q16" s="18" t="s">
        <v>1214</v>
      </c>
    </row>
    <row r="17" spans="1:17" ht="28.15" customHeight="1">
      <c r="A17" s="6" t="s">
        <v>85</v>
      </c>
      <c r="B17" s="6" t="s">
        <v>1260</v>
      </c>
      <c r="C17" s="11">
        <v>2024</v>
      </c>
      <c r="D17" s="6" t="s">
        <v>86</v>
      </c>
      <c r="E17" s="11">
        <v>1074280908</v>
      </c>
      <c r="F17" s="6" t="s">
        <v>87</v>
      </c>
      <c r="G17" s="6" t="s">
        <v>88</v>
      </c>
      <c r="H17" s="26">
        <v>74278090</v>
      </c>
      <c r="I17" s="26"/>
      <c r="J17" s="6" t="s">
        <v>466</v>
      </c>
      <c r="K17" s="7">
        <v>45448</v>
      </c>
      <c r="L17" s="11">
        <v>3</v>
      </c>
      <c r="M17" s="7">
        <f t="shared" si="4"/>
        <v>46542</v>
      </c>
      <c r="N17" s="13">
        <f t="shared" ca="1" si="5"/>
        <v>323</v>
      </c>
      <c r="O17" s="11" t="str">
        <f t="shared" ca="1" si="6"/>
        <v>VIGENTE</v>
      </c>
      <c r="P17" s="6" t="str">
        <f t="shared" si="7"/>
        <v>1074280908 CASTOPE CHAVEZ CUEVA IRMA KATERINE 74278090 0015-2024 COCINA</v>
      </c>
      <c r="Q17" s="18"/>
    </row>
    <row r="18" spans="1:17" ht="28.15" customHeight="1">
      <c r="A18" s="6" t="s">
        <v>89</v>
      </c>
      <c r="B18" s="6" t="s">
        <v>1261</v>
      </c>
      <c r="C18" s="11">
        <v>2024</v>
      </c>
      <c r="D18" s="6" t="s">
        <v>90</v>
      </c>
      <c r="E18" s="11">
        <v>10457741281</v>
      </c>
      <c r="F18" s="6" t="s">
        <v>91</v>
      </c>
      <c r="G18" s="6" t="s">
        <v>92</v>
      </c>
      <c r="H18" s="26">
        <v>45774128</v>
      </c>
      <c r="I18" s="26"/>
      <c r="J18" s="6" t="s">
        <v>1247</v>
      </c>
      <c r="K18" s="7">
        <v>45448</v>
      </c>
      <c r="L18" s="11">
        <v>3</v>
      </c>
      <c r="M18" s="7">
        <f t="shared" si="4"/>
        <v>46542</v>
      </c>
      <c r="N18" s="13">
        <f t="shared" ca="1" si="5"/>
        <v>323</v>
      </c>
      <c r="O18" s="11" t="str">
        <f t="shared" ca="1" si="6"/>
        <v>VIGENTE</v>
      </c>
      <c r="P18" s="6" t="str">
        <f t="shared" si="7"/>
        <v>10457741281 RESTAURANT LA MINA MARINA RAMOS TAICA DIANA ISABEL 45774128 0018-2024 PANIFICACIÓN INDUSTRIAL</v>
      </c>
      <c r="Q18" s="18"/>
    </row>
    <row r="19" spans="1:17" ht="28.15" customHeight="1">
      <c r="A19" s="6" t="s">
        <v>93</v>
      </c>
      <c r="B19" s="6" t="s">
        <v>1262</v>
      </c>
      <c r="C19" s="11">
        <v>2024</v>
      </c>
      <c r="D19" s="6" t="s">
        <v>94</v>
      </c>
      <c r="E19" s="11">
        <v>20605986006</v>
      </c>
      <c r="F19" s="6" t="s">
        <v>95</v>
      </c>
      <c r="G19" s="6" t="s">
        <v>96</v>
      </c>
      <c r="H19" s="26">
        <v>41803667</v>
      </c>
      <c r="I19" s="26"/>
      <c r="J19" s="6" t="s">
        <v>1247</v>
      </c>
      <c r="K19" s="7">
        <v>45448</v>
      </c>
      <c r="L19" s="11">
        <v>3</v>
      </c>
      <c r="M19" s="7">
        <f t="shared" si="4"/>
        <v>46542</v>
      </c>
      <c r="N19" s="13">
        <f t="shared" ca="1" si="5"/>
        <v>323</v>
      </c>
      <c r="O19" s="11" t="str">
        <f t="shared" ca="1" si="6"/>
        <v>VIGENTE</v>
      </c>
      <c r="P19" s="6" t="str">
        <f t="shared" si="7"/>
        <v>20605986006 NAVIERO CEVICHERIA MARBE CORP CABANILLAS VALQUI WALTER 41803667 0019-2024 PANIFICACIÓN INDUSTRIAL</v>
      </c>
      <c r="Q19" s="18"/>
    </row>
    <row r="20" spans="1:17" ht="28.15" customHeight="1">
      <c r="A20" s="6" t="s">
        <v>97</v>
      </c>
      <c r="B20" s="6" t="s">
        <v>1263</v>
      </c>
      <c r="C20" s="11">
        <v>2024</v>
      </c>
      <c r="D20" s="6" t="s">
        <v>98</v>
      </c>
      <c r="E20" s="11">
        <v>10445129696</v>
      </c>
      <c r="F20" s="24" t="s">
        <v>99</v>
      </c>
      <c r="G20" s="6" t="s">
        <v>100</v>
      </c>
      <c r="H20" s="26">
        <v>44512969</v>
      </c>
      <c r="I20" s="26"/>
      <c r="J20" s="6" t="s">
        <v>487</v>
      </c>
      <c r="K20" s="7">
        <v>45448</v>
      </c>
      <c r="L20" s="11">
        <v>3</v>
      </c>
      <c r="M20" s="7">
        <f t="shared" si="4"/>
        <v>46542</v>
      </c>
      <c r="N20" s="13">
        <f t="shared" ca="1" si="5"/>
        <v>323</v>
      </c>
      <c r="O20" s="11" t="str">
        <f t="shared" ca="1" si="6"/>
        <v>VIGENTE</v>
      </c>
      <c r="P20" s="6" t="str">
        <f t="shared" si="7"/>
        <v>10445129696 ERIKA JULISSA SALON GARCIA MENDOZA ERIKA JULISSA 44512969 0020-2024 ESTILISMO</v>
      </c>
      <c r="Q20" s="18" t="s">
        <v>1212</v>
      </c>
    </row>
    <row r="21" spans="1:17" ht="28.15" customHeight="1">
      <c r="A21" s="6" t="s">
        <v>101</v>
      </c>
      <c r="B21" s="6" t="s">
        <v>1264</v>
      </c>
      <c r="C21" s="11">
        <v>2024</v>
      </c>
      <c r="D21" s="6" t="s">
        <v>102</v>
      </c>
      <c r="E21" s="11">
        <v>20529587768</v>
      </c>
      <c r="F21" s="6" t="s">
        <v>103</v>
      </c>
      <c r="G21" s="6" t="s">
        <v>104</v>
      </c>
      <c r="H21" s="26">
        <v>26683071</v>
      </c>
      <c r="I21" s="26"/>
      <c r="J21" s="6" t="s">
        <v>1245</v>
      </c>
      <c r="K21" s="7">
        <v>45461</v>
      </c>
      <c r="L21" s="11">
        <v>3</v>
      </c>
      <c r="M21" s="7">
        <f t="shared" si="4"/>
        <v>46555</v>
      </c>
      <c r="N21" s="13">
        <f t="shared" ca="1" si="5"/>
        <v>336</v>
      </c>
      <c r="O21" s="11" t="str">
        <f t="shared" ca="1" si="6"/>
        <v>VIGENTE</v>
      </c>
      <c r="P21" s="6" t="str">
        <f t="shared" si="7"/>
        <v>20529587768 LA EMPRESA I.E.P "REAL COLLEGE" CELSO ENRIQUE AGUILAR ALIAGA 26683071 0023-2024 COMPUTACIÓN E INFORMÁTICA</v>
      </c>
      <c r="Q21" s="18"/>
    </row>
    <row r="22" spans="1:17" ht="28.15" customHeight="1">
      <c r="A22" s="6" t="s">
        <v>105</v>
      </c>
      <c r="B22" s="6" t="s">
        <v>1265</v>
      </c>
      <c r="C22" s="11">
        <v>2024</v>
      </c>
      <c r="D22" s="6" t="s">
        <v>106</v>
      </c>
      <c r="E22" s="11">
        <v>20601017505</v>
      </c>
      <c r="F22" s="6" t="s">
        <v>107</v>
      </c>
      <c r="G22" s="6" t="s">
        <v>108</v>
      </c>
      <c r="H22" s="26">
        <v>26681339</v>
      </c>
      <c r="I22" s="26"/>
      <c r="J22" s="6" t="s">
        <v>1244</v>
      </c>
      <c r="K22" s="7">
        <v>45461</v>
      </c>
      <c r="L22" s="11">
        <v>3</v>
      </c>
      <c r="M22" s="7">
        <f t="shared" si="4"/>
        <v>46555</v>
      </c>
      <c r="N22" s="13">
        <f t="shared" ca="1" si="5"/>
        <v>336</v>
      </c>
      <c r="O22" s="11" t="str">
        <f t="shared" ca="1" si="6"/>
        <v>VIGENTE</v>
      </c>
      <c r="P22" s="6" t="str">
        <f t="shared" si="7"/>
        <v>20601017505 GRATA LOMA SAC SUCURSAL CAJAMARCA ING.JORGE ESCALANTE AGUILAR 26681339 0024-2024 ADMINISTRACIÓN Y COMERCIO</v>
      </c>
      <c r="Q22" s="18"/>
    </row>
    <row r="23" spans="1:17" ht="28.15" customHeight="1">
      <c r="A23" s="6" t="s">
        <v>109</v>
      </c>
      <c r="B23" s="6" t="s">
        <v>1266</v>
      </c>
      <c r="C23" s="11">
        <v>2024</v>
      </c>
      <c r="D23" s="6" t="s">
        <v>110</v>
      </c>
      <c r="E23" s="11">
        <v>442863</v>
      </c>
      <c r="F23" s="6" t="s">
        <v>111</v>
      </c>
      <c r="G23" s="6" t="s">
        <v>112</v>
      </c>
      <c r="H23" s="26">
        <v>26723366</v>
      </c>
      <c r="I23" s="26"/>
      <c r="J23" s="6" t="s">
        <v>1245</v>
      </c>
      <c r="K23" s="7">
        <v>45461</v>
      </c>
      <c r="L23" s="11">
        <v>3</v>
      </c>
      <c r="M23" s="7">
        <f t="shared" si="4"/>
        <v>46555</v>
      </c>
      <c r="N23" s="13">
        <f t="shared" ca="1" si="5"/>
        <v>336</v>
      </c>
      <c r="O23" s="11" t="str">
        <f t="shared" ca="1" si="6"/>
        <v>VIGENTE</v>
      </c>
      <c r="P23" s="6" t="str">
        <f t="shared" si="7"/>
        <v>442863 LA EMPRESA I.E.P 82001-SAN RAMON SANTOS GUTIERREZ SILVA 26723366 0025-2024 COMPUTACIÓN E INFORMÁTICA</v>
      </c>
      <c r="Q23" s="18"/>
    </row>
    <row r="24" spans="1:17" ht="28.15" customHeight="1">
      <c r="A24" s="6" t="s">
        <v>113</v>
      </c>
      <c r="B24" s="6" t="s">
        <v>1267</v>
      </c>
      <c r="C24" s="11">
        <v>2024</v>
      </c>
      <c r="D24" s="6" t="s">
        <v>114</v>
      </c>
      <c r="E24" s="11">
        <v>20610205233</v>
      </c>
      <c r="F24" s="6" t="s">
        <v>115</v>
      </c>
      <c r="G24" s="6" t="s">
        <v>116</v>
      </c>
      <c r="H24" s="26">
        <v>466581215</v>
      </c>
      <c r="I24" s="26"/>
      <c r="J24" s="6" t="s">
        <v>508</v>
      </c>
      <c r="K24" s="7">
        <v>45461</v>
      </c>
      <c r="L24" s="11">
        <v>3</v>
      </c>
      <c r="M24" s="7">
        <f t="shared" si="4"/>
        <v>46555</v>
      </c>
      <c r="N24" s="13">
        <f t="shared" ca="1" si="5"/>
        <v>336</v>
      </c>
      <c r="O24" s="11" t="str">
        <f t="shared" ca="1" si="6"/>
        <v>VIGENTE</v>
      </c>
      <c r="P24" s="6" t="str">
        <f t="shared" si="7"/>
        <v>20610205233 LA EMPRESA MONTECILLO CONSTRUCTORES ALFREDO CUEVA FLORES 466581215 0026-2024 TOPOGRAFÍA</v>
      </c>
      <c r="Q24" s="18"/>
    </row>
    <row r="25" spans="1:17" ht="28.15" customHeight="1">
      <c r="A25" s="6" t="s">
        <v>117</v>
      </c>
      <c r="B25" s="6" t="s">
        <v>1268</v>
      </c>
      <c r="C25" s="11">
        <v>2024</v>
      </c>
      <c r="D25" s="6" t="s">
        <v>118</v>
      </c>
      <c r="E25" s="11">
        <v>20601662150</v>
      </c>
      <c r="F25" s="6" t="s">
        <v>119</v>
      </c>
      <c r="G25" s="6" t="s">
        <v>120</v>
      </c>
      <c r="H25" s="26">
        <v>60166215</v>
      </c>
      <c r="I25" s="26"/>
      <c r="J25" s="6" t="s">
        <v>1244</v>
      </c>
      <c r="K25" s="7">
        <v>45461</v>
      </c>
      <c r="L25" s="11">
        <v>3</v>
      </c>
      <c r="M25" s="7">
        <f t="shared" si="4"/>
        <v>46555</v>
      </c>
      <c r="N25" s="13">
        <f t="shared" ca="1" si="5"/>
        <v>336</v>
      </c>
      <c r="O25" s="11" t="str">
        <f t="shared" ca="1" si="6"/>
        <v>VIGENTE</v>
      </c>
      <c r="P25" s="6" t="str">
        <f t="shared" si="7"/>
        <v>20601662150 LA EMPRESA THE UPSCALE COMPANY SAC BLANCA MADELI ACUÑA LARA 60166215 0028-2024 ADMINISTRACIÓN Y COMERCIO</v>
      </c>
      <c r="Q25" s="18"/>
    </row>
    <row r="26" spans="1:17" s="9" customFormat="1" ht="28.15" customHeight="1">
      <c r="A26" s="6" t="s">
        <v>121</v>
      </c>
      <c r="B26" s="6" t="s">
        <v>1269</v>
      </c>
      <c r="C26" s="11">
        <v>2024</v>
      </c>
      <c r="D26" s="6" t="s">
        <v>122</v>
      </c>
      <c r="E26" s="11">
        <v>20601297401</v>
      </c>
      <c r="F26" s="24" t="s">
        <v>1213</v>
      </c>
      <c r="G26" s="6" t="s">
        <v>123</v>
      </c>
      <c r="H26" s="26">
        <v>60129740</v>
      </c>
      <c r="I26" s="26"/>
      <c r="J26" s="6" t="s">
        <v>1244</v>
      </c>
      <c r="K26" s="7">
        <v>45461</v>
      </c>
      <c r="L26" s="11">
        <v>3</v>
      </c>
      <c r="M26" s="7">
        <f t="shared" si="4"/>
        <v>46555</v>
      </c>
      <c r="N26" s="13">
        <f t="shared" ca="1" si="5"/>
        <v>336</v>
      </c>
      <c r="O26" s="11" t="str">
        <f t="shared" ca="1" si="6"/>
        <v>VIGENTE</v>
      </c>
      <c r="P26" s="6" t="str">
        <f t="shared" si="7"/>
        <v>20601297401 LA EMPRESA SALES FORCE PERU SRL CARLOS ENRIQUE CHAMBERGORENTERIA 60129740 0029-2024 ADMINISTRACIÓN Y COMERCIO</v>
      </c>
      <c r="Q26" s="18"/>
    </row>
    <row r="27" spans="1:17" s="9" customFormat="1" ht="28.15" customHeight="1">
      <c r="A27" s="6" t="s">
        <v>124</v>
      </c>
      <c r="B27" s="6" t="s">
        <v>1270</v>
      </c>
      <c r="C27" s="11">
        <v>2024</v>
      </c>
      <c r="D27" s="6" t="s">
        <v>125</v>
      </c>
      <c r="E27" s="11">
        <v>20603967527</v>
      </c>
      <c r="F27" s="6" t="s">
        <v>126</v>
      </c>
      <c r="G27" s="6" t="s">
        <v>127</v>
      </c>
      <c r="H27" s="26">
        <v>41138909</v>
      </c>
      <c r="I27" s="26"/>
      <c r="J27" s="6" t="s">
        <v>1244</v>
      </c>
      <c r="K27" s="7">
        <v>45464</v>
      </c>
      <c r="L27" s="11">
        <v>3</v>
      </c>
      <c r="M27" s="7">
        <f t="shared" si="4"/>
        <v>46558</v>
      </c>
      <c r="N27" s="13">
        <f t="shared" ca="1" si="5"/>
        <v>339</v>
      </c>
      <c r="O27" s="11" t="str">
        <f t="shared" ca="1" si="6"/>
        <v>VIGENTE</v>
      </c>
      <c r="P27" s="6" t="str">
        <f t="shared" si="7"/>
        <v>20603967527 MN SERVICIOS GENERALES E.I.R.L PERCY SUAREZ MALCA 41138909 0031-2024 ADMINISTRACIÓN Y COMERCIO</v>
      </c>
      <c r="Q27" s="18"/>
    </row>
    <row r="28" spans="1:17" s="9" customFormat="1" ht="28.15" customHeight="1">
      <c r="A28" s="6" t="s">
        <v>128</v>
      </c>
      <c r="B28" s="6" t="s">
        <v>1271</v>
      </c>
      <c r="C28" s="11">
        <v>2024</v>
      </c>
      <c r="D28" s="6" t="s">
        <v>129</v>
      </c>
      <c r="E28" s="11">
        <v>10406257971</v>
      </c>
      <c r="F28" s="6" t="s">
        <v>130</v>
      </c>
      <c r="G28" s="6" t="s">
        <v>131</v>
      </c>
      <c r="H28" s="26">
        <v>40625797</v>
      </c>
      <c r="I28" s="26"/>
      <c r="J28" s="6" t="s">
        <v>487</v>
      </c>
      <c r="K28" s="7">
        <v>45382</v>
      </c>
      <c r="L28" s="11">
        <v>3</v>
      </c>
      <c r="M28" s="7">
        <f t="shared" si="4"/>
        <v>46476</v>
      </c>
      <c r="N28" s="13">
        <f t="shared" ca="1" si="5"/>
        <v>257</v>
      </c>
      <c r="O28" s="11" t="str">
        <f t="shared" ca="1" si="6"/>
        <v>VIGENTE</v>
      </c>
      <c r="P28" s="6" t="str">
        <f t="shared" si="7"/>
        <v>10406257971 LA EMPRESA D' MAY SPA ANA MAYLE GUEVARA FLORES 40625797 0032-2024 ESTILISMO</v>
      </c>
      <c r="Q28" s="18"/>
    </row>
    <row r="29" spans="1:17" s="9" customFormat="1" ht="28.15" customHeight="1">
      <c r="A29" s="6" t="s">
        <v>132</v>
      </c>
      <c r="B29" s="6" t="s">
        <v>1272</v>
      </c>
      <c r="C29" s="11">
        <v>2024</v>
      </c>
      <c r="D29" s="6" t="s">
        <v>133</v>
      </c>
      <c r="E29" s="11">
        <v>10414900645</v>
      </c>
      <c r="F29" s="6" t="s">
        <v>134</v>
      </c>
      <c r="G29" s="6" t="s">
        <v>135</v>
      </c>
      <c r="H29" s="26">
        <v>26724027</v>
      </c>
      <c r="I29" s="26"/>
      <c r="J29" s="6" t="s">
        <v>487</v>
      </c>
      <c r="K29" s="7">
        <v>45464</v>
      </c>
      <c r="L29" s="11">
        <v>3</v>
      </c>
      <c r="M29" s="7">
        <f t="shared" si="4"/>
        <v>46558</v>
      </c>
      <c r="N29" s="13">
        <f t="shared" ca="1" si="5"/>
        <v>339</v>
      </c>
      <c r="O29" s="11" t="str">
        <f t="shared" ca="1" si="6"/>
        <v>VIGENTE</v>
      </c>
      <c r="P29" s="6" t="str">
        <f t="shared" si="7"/>
        <v>10414900645 LA EMPRESA SALON SPA "IMAGEN" GISELLA LOJE JULCA 26724027 0033-2024 ESTILISMO</v>
      </c>
      <c r="Q29" s="18"/>
    </row>
    <row r="30" spans="1:17" s="9" customFormat="1" ht="28.15" customHeight="1">
      <c r="A30" s="6" t="s">
        <v>136</v>
      </c>
      <c r="B30" s="6" t="s">
        <v>1273</v>
      </c>
      <c r="C30" s="11">
        <v>2024</v>
      </c>
      <c r="D30" s="6" t="s">
        <v>137</v>
      </c>
      <c r="E30" s="11">
        <v>10432198460</v>
      </c>
      <c r="F30" s="6" t="s">
        <v>138</v>
      </c>
      <c r="G30" s="6" t="s">
        <v>139</v>
      </c>
      <c r="H30" s="26">
        <v>43219846</v>
      </c>
      <c r="I30" s="26"/>
      <c r="J30" s="24" t="s">
        <v>487</v>
      </c>
      <c r="K30" s="7">
        <v>45463</v>
      </c>
      <c r="L30" s="11">
        <v>3</v>
      </c>
      <c r="M30" s="7">
        <f t="shared" si="4"/>
        <v>46557</v>
      </c>
      <c r="N30" s="13">
        <f t="shared" ca="1" si="5"/>
        <v>338</v>
      </c>
      <c r="O30" s="11" t="str">
        <f t="shared" ca="1" si="6"/>
        <v>VIGENTE</v>
      </c>
      <c r="P30" s="6" t="str">
        <f t="shared" si="7"/>
        <v>10432198460 ELA EMPRESA ANFRYD SALON &amp; ESTILOS NUÑEZ VALLEJOS YANETH DEICIY 43219846 0043-2024 ESTILISMO</v>
      </c>
      <c r="Q30" s="18"/>
    </row>
    <row r="31" spans="1:17" s="9" customFormat="1" ht="28.15" customHeight="1">
      <c r="A31" s="6" t="s">
        <v>44</v>
      </c>
      <c r="B31" s="6" t="s">
        <v>1253</v>
      </c>
      <c r="C31" s="11">
        <v>2024</v>
      </c>
      <c r="D31" s="6" t="s">
        <v>48</v>
      </c>
      <c r="E31" s="11">
        <v>10423951613</v>
      </c>
      <c r="F31" s="6" t="s">
        <v>49</v>
      </c>
      <c r="G31" s="6" t="s">
        <v>50</v>
      </c>
      <c r="H31" s="26">
        <v>42395116</v>
      </c>
      <c r="I31" s="26"/>
      <c r="J31" s="6" t="s">
        <v>487</v>
      </c>
      <c r="K31" s="7">
        <v>45397</v>
      </c>
      <c r="L31" s="11">
        <v>3</v>
      </c>
      <c r="M31" s="7">
        <f t="shared" si="4"/>
        <v>46491</v>
      </c>
      <c r="N31" s="13">
        <f t="shared" ca="1" si="5"/>
        <v>272</v>
      </c>
      <c r="O31" s="11" t="str">
        <f t="shared" ca="1" si="6"/>
        <v>VIGENTE</v>
      </c>
      <c r="P31" s="6" t="str">
        <f t="shared" si="7"/>
        <v>10423951613 PELUQUERIA CASTOPE MICHA MARTINEZ HERNANDEZ ROXANA ANITA 42395116 0002-2024 ESTILISMO</v>
      </c>
      <c r="Q31" s="18"/>
    </row>
    <row r="32" spans="1:17" s="9" customFormat="1" ht="28.15" customHeight="1">
      <c r="A32" s="6" t="s">
        <v>51</v>
      </c>
      <c r="B32" s="6" t="s">
        <v>1275</v>
      </c>
      <c r="C32" s="11">
        <v>2024</v>
      </c>
      <c r="D32" s="6" t="s">
        <v>52</v>
      </c>
      <c r="E32" s="11">
        <v>10446314888</v>
      </c>
      <c r="F32" s="6" t="s">
        <v>53</v>
      </c>
      <c r="G32" s="6" t="s">
        <v>54</v>
      </c>
      <c r="H32" s="26">
        <v>44631488</v>
      </c>
      <c r="I32" s="26"/>
      <c r="J32" s="6" t="s">
        <v>508</v>
      </c>
      <c r="K32" s="7">
        <v>45414</v>
      </c>
      <c r="L32" s="11">
        <v>3</v>
      </c>
      <c r="M32" s="7">
        <f t="shared" si="4"/>
        <v>46508</v>
      </c>
      <c r="N32" s="13">
        <f t="shared" ca="1" si="5"/>
        <v>289</v>
      </c>
      <c r="O32" s="11" t="str">
        <f t="shared" ca="1" si="6"/>
        <v>VIGENTE</v>
      </c>
      <c r="P32" s="6" t="str">
        <f t="shared" si="7"/>
        <v>10446314888 S&amp;S SATELITE INGENIEROS JOSEP ABANTO ORTIZ 44631488 0003-2024 TOPOGRAFÍA</v>
      </c>
      <c r="Q32" s="18"/>
    </row>
    <row r="33" spans="1:17" s="9" customFormat="1" ht="28.15" customHeight="1">
      <c r="A33" s="6" t="s">
        <v>147</v>
      </c>
      <c r="B33" s="6" t="s">
        <v>1276</v>
      </c>
      <c r="C33" s="11">
        <v>2024</v>
      </c>
      <c r="D33" s="6" t="s">
        <v>148</v>
      </c>
      <c r="E33" s="11">
        <v>10200177083</v>
      </c>
      <c r="F33" s="6" t="s">
        <v>149</v>
      </c>
      <c r="G33" s="6" t="s">
        <v>150</v>
      </c>
      <c r="H33" s="26">
        <v>20017708</v>
      </c>
      <c r="I33" s="26"/>
      <c r="J33" s="6" t="s">
        <v>1245</v>
      </c>
      <c r="K33" s="7">
        <v>45464</v>
      </c>
      <c r="L33" s="11">
        <v>3</v>
      </c>
      <c r="M33" s="7">
        <f t="shared" si="4"/>
        <v>46558</v>
      </c>
      <c r="N33" s="13">
        <f t="shared" ca="1" si="5"/>
        <v>339</v>
      </c>
      <c r="O33" s="11" t="str">
        <f t="shared" ca="1" si="6"/>
        <v>VIGENTE</v>
      </c>
      <c r="P33" s="6" t="str">
        <f t="shared" si="7"/>
        <v>10200177083 LA EMPRESA LOGISTICA Y SERVICIOS CIRO EDGAR HUAIRE DE LA CRUZ 20017708 0045-2024 COMPUTACIÓN E INFORMÁTICA</v>
      </c>
      <c r="Q33" s="18"/>
    </row>
    <row r="34" spans="1:17" s="9" customFormat="1" ht="28.15" customHeight="1">
      <c r="A34" s="6" t="s">
        <v>151</v>
      </c>
      <c r="B34" s="6" t="s">
        <v>1277</v>
      </c>
      <c r="C34" s="11">
        <v>2024</v>
      </c>
      <c r="D34" s="6" t="s">
        <v>152</v>
      </c>
      <c r="E34" s="11">
        <v>10458434153</v>
      </c>
      <c r="F34" s="6" t="s">
        <v>153</v>
      </c>
      <c r="G34" s="6" t="s">
        <v>154</v>
      </c>
      <c r="H34" s="26">
        <v>45843415</v>
      </c>
      <c r="I34" s="26"/>
      <c r="J34" s="6" t="s">
        <v>1247</v>
      </c>
      <c r="K34" s="7">
        <v>45464</v>
      </c>
      <c r="L34" s="11">
        <v>3</v>
      </c>
      <c r="M34" s="7">
        <f t="shared" si="4"/>
        <v>46558</v>
      </c>
      <c r="N34" s="13">
        <f t="shared" ca="1" si="5"/>
        <v>339</v>
      </c>
      <c r="O34" s="11" t="str">
        <f t="shared" ca="1" si="6"/>
        <v>VIGENTE</v>
      </c>
      <c r="P34" s="6" t="str">
        <f t="shared" si="7"/>
        <v>10458434153 LA EMPRESA VICTORIA'S CAFÉ MARLENY LUNA DE LA CRUZ 45843415 0048-2024 PANIFICACIÓN INDUSTRIAL</v>
      </c>
      <c r="Q34" s="18"/>
    </row>
    <row r="35" spans="1:17" s="9" customFormat="1" ht="27.6" customHeight="1">
      <c r="A35" s="6" t="s">
        <v>155</v>
      </c>
      <c r="B35" s="6" t="s">
        <v>1278</v>
      </c>
      <c r="C35" s="11">
        <v>2024</v>
      </c>
      <c r="D35" s="6" t="s">
        <v>156</v>
      </c>
      <c r="E35" s="11">
        <v>438655</v>
      </c>
      <c r="F35" s="6" t="s">
        <v>157</v>
      </c>
      <c r="G35" s="6" t="s">
        <v>158</v>
      </c>
      <c r="H35" s="26">
        <v>43219846</v>
      </c>
      <c r="I35" s="26"/>
      <c r="J35" s="6" t="s">
        <v>1245</v>
      </c>
      <c r="K35" s="7">
        <v>45464</v>
      </c>
      <c r="L35" s="11">
        <v>3</v>
      </c>
      <c r="M35" s="7">
        <f t="shared" si="4"/>
        <v>46558</v>
      </c>
      <c r="N35" s="13">
        <f t="shared" ca="1" si="5"/>
        <v>339</v>
      </c>
      <c r="O35" s="11" t="str">
        <f t="shared" ca="1" si="6"/>
        <v>VIGENTE</v>
      </c>
      <c r="P35" s="6" t="str">
        <f t="shared" si="7"/>
        <v>438655 LA I.E. VIRGEN DE LA NATIVIDAD 82040 BALBINA SANTOS BAZAN ARCE 43219846 0049-2024 COMPUTACIÓN E INFORMÁTICA</v>
      </c>
      <c r="Q35" s="18" t="s">
        <v>1215</v>
      </c>
    </row>
    <row r="36" spans="1:17" s="9" customFormat="1" ht="27.6" customHeight="1">
      <c r="A36" s="6" t="s">
        <v>159</v>
      </c>
      <c r="B36" s="6" t="s">
        <v>1279</v>
      </c>
      <c r="C36" s="11">
        <v>2024</v>
      </c>
      <c r="D36" s="6" t="s">
        <v>160</v>
      </c>
      <c r="E36" s="11">
        <v>10165185756</v>
      </c>
      <c r="F36" s="6" t="s">
        <v>161</v>
      </c>
      <c r="G36" s="6" t="s">
        <v>162</v>
      </c>
      <c r="H36" s="26">
        <v>16518575</v>
      </c>
      <c r="I36" s="26"/>
      <c r="J36" s="6" t="s">
        <v>487</v>
      </c>
      <c r="K36" s="7">
        <v>45464</v>
      </c>
      <c r="L36" s="11">
        <v>3</v>
      </c>
      <c r="M36" s="7">
        <f t="shared" si="4"/>
        <v>46558</v>
      </c>
      <c r="N36" s="13">
        <f t="shared" ca="1" si="5"/>
        <v>339</v>
      </c>
      <c r="O36" s="11" t="str">
        <f t="shared" ca="1" si="6"/>
        <v>VIGENTE</v>
      </c>
      <c r="P36" s="6" t="str">
        <f t="shared" si="7"/>
        <v>10165185756 LOS SPA OLIVOS DOMINGO ANTONIO AGÜERO OLIVOS 16518575 0054-2024 ESTILISMO</v>
      </c>
      <c r="Q36" s="18"/>
    </row>
    <row r="37" spans="1:17" s="9" customFormat="1" ht="27.6" customHeight="1">
      <c r="A37" s="6" t="s">
        <v>163</v>
      </c>
      <c r="B37" s="6" t="s">
        <v>1280</v>
      </c>
      <c r="C37" s="11">
        <v>2024</v>
      </c>
      <c r="D37" s="6" t="s">
        <v>164</v>
      </c>
      <c r="E37" s="11">
        <v>10267195281</v>
      </c>
      <c r="F37" s="6" t="s">
        <v>165</v>
      </c>
      <c r="G37" s="6" t="s">
        <v>166</v>
      </c>
      <c r="H37" s="26">
        <v>26719528</v>
      </c>
      <c r="I37" s="26"/>
      <c r="J37" s="6" t="s">
        <v>1244</v>
      </c>
      <c r="K37" s="7">
        <v>45464</v>
      </c>
      <c r="L37" s="11">
        <v>3</v>
      </c>
      <c r="M37" s="7">
        <f t="shared" si="4"/>
        <v>46558</v>
      </c>
      <c r="N37" s="13">
        <f t="shared" ca="1" si="5"/>
        <v>339</v>
      </c>
      <c r="O37" s="11" t="str">
        <f t="shared" ca="1" si="6"/>
        <v>VIGENTE</v>
      </c>
      <c r="P37" s="6" t="str">
        <f t="shared" si="7"/>
        <v>10267195281 F&amp;C CABANILLAS JUAN FERNANDO CABANILLAS ALVARES 26719528 0056-2024 ADMINISTRACIÓN Y COMERCIO</v>
      </c>
      <c r="Q37" s="18"/>
    </row>
    <row r="38" spans="1:17" s="9" customFormat="1" ht="27.6" customHeight="1">
      <c r="A38" s="6" t="s">
        <v>167</v>
      </c>
      <c r="B38" s="6" t="s">
        <v>1281</v>
      </c>
      <c r="C38" s="11">
        <v>2024</v>
      </c>
      <c r="D38" s="6" t="s">
        <v>168</v>
      </c>
      <c r="E38" s="11">
        <v>10410527010</v>
      </c>
      <c r="F38" s="6" t="s">
        <v>169</v>
      </c>
      <c r="G38" s="6" t="s">
        <v>170</v>
      </c>
      <c r="H38" s="26">
        <v>41052701</v>
      </c>
      <c r="I38" s="26"/>
      <c r="J38" s="6" t="s">
        <v>487</v>
      </c>
      <c r="K38" s="7">
        <v>45464</v>
      </c>
      <c r="L38" s="11">
        <v>3</v>
      </c>
      <c r="M38" s="7">
        <f t="shared" ref="M38:M69" si="8">IF(OR(K38="",L38=""),"",DATE(YEAR(K38)+L38,MONTH(K38),DAY(K38))-1)</f>
        <v>46558</v>
      </c>
      <c r="N38" s="13">
        <f t="shared" ref="N38:N69" ca="1" si="9">IF(M38="","",M38-TODAY())</f>
        <v>339</v>
      </c>
      <c r="O38" s="11" t="str">
        <f t="shared" ref="O38:O69" ca="1" si="10">IF(M38="","SIN FECHA",IF(M38&lt;TODAY(),"VENCIDO",IF(M38-TODAY()&lt;=30,"POR VENCER","VIGENTE")))</f>
        <v>VIGENTE</v>
      </c>
      <c r="P38" s="6" t="str">
        <f t="shared" ref="P38:P69" si="11">UPPER(TRIM(E38&amp;" "&amp;D38&amp;" "&amp;G38&amp;" "&amp;H38&amp;" "&amp;I38&amp;" "&amp;B38&amp;" "&amp;J38))</f>
        <v>10410527010 EL SPA-"FABEL ESTILISTA" ENRIQUE VILLA OCAS 41052701 0057-2024 ESTILISMO</v>
      </c>
      <c r="Q38" s="18"/>
    </row>
    <row r="39" spans="1:17" s="9" customFormat="1" ht="27.6" customHeight="1">
      <c r="A39" s="6" t="s">
        <v>171</v>
      </c>
      <c r="B39" s="6" t="s">
        <v>1282</v>
      </c>
      <c r="C39" s="11">
        <v>2024</v>
      </c>
      <c r="D39" s="6" t="s">
        <v>172</v>
      </c>
      <c r="E39" s="11">
        <v>10475384925</v>
      </c>
      <c r="F39" s="6" t="s">
        <v>173</v>
      </c>
      <c r="G39" s="6" t="s">
        <v>174</v>
      </c>
      <c r="H39" s="26">
        <v>47538492</v>
      </c>
      <c r="I39" s="26"/>
      <c r="J39" s="6" t="s">
        <v>487</v>
      </c>
      <c r="K39" s="7">
        <v>45464</v>
      </c>
      <c r="L39" s="11">
        <v>3</v>
      </c>
      <c r="M39" s="7">
        <f t="shared" si="8"/>
        <v>46558</v>
      </c>
      <c r="N39" s="13">
        <f t="shared" ca="1" si="9"/>
        <v>339</v>
      </c>
      <c r="O39" s="11" t="str">
        <f t="shared" ca="1" si="10"/>
        <v>VIGENTE</v>
      </c>
      <c r="P39" s="6" t="str">
        <f t="shared" si="11"/>
        <v>10475384925 SMITH BARBER SHOP CORTES BARDALES , SAMUEL ALCIADES 47538492 0058-2024 ESTILISMO</v>
      </c>
      <c r="Q39" s="18"/>
    </row>
    <row r="40" spans="1:17" s="9" customFormat="1" ht="27.6" customHeight="1">
      <c r="A40" s="6" t="s">
        <v>175</v>
      </c>
      <c r="B40" s="6" t="s">
        <v>1283</v>
      </c>
      <c r="C40" s="11">
        <v>2024</v>
      </c>
      <c r="D40" s="6" t="s">
        <v>176</v>
      </c>
      <c r="E40" s="11">
        <v>20171779660</v>
      </c>
      <c r="F40" s="6" t="s">
        <v>177</v>
      </c>
      <c r="G40" s="6" t="s">
        <v>178</v>
      </c>
      <c r="H40" s="26">
        <v>72366162</v>
      </c>
      <c r="I40" s="26"/>
      <c r="J40" s="6" t="s">
        <v>613</v>
      </c>
      <c r="K40" s="7">
        <v>45464</v>
      </c>
      <c r="L40" s="11">
        <v>3</v>
      </c>
      <c r="M40" s="7">
        <f t="shared" si="8"/>
        <v>46558</v>
      </c>
      <c r="N40" s="13">
        <f t="shared" ca="1" si="9"/>
        <v>339</v>
      </c>
      <c r="O40" s="11" t="str">
        <f t="shared" ca="1" si="10"/>
        <v>VIGENTE</v>
      </c>
      <c r="P40" s="6" t="str">
        <f t="shared" si="11"/>
        <v>20171779660 LA MUNICIPALIDAD DISTRITAL DE JESUS AUGUSTO JHON SMITH ÑONTOL 72366162 0060-2024 SERVICIOS SOCIALES Y DE SALUD</v>
      </c>
      <c r="Q40" s="18"/>
    </row>
    <row r="41" spans="1:17" s="9" customFormat="1" ht="27.6" customHeight="1">
      <c r="A41" s="6" t="s">
        <v>179</v>
      </c>
      <c r="B41" s="6" t="s">
        <v>1284</v>
      </c>
      <c r="C41" s="11">
        <v>2024</v>
      </c>
      <c r="D41" s="6" t="s">
        <v>180</v>
      </c>
      <c r="E41" s="11">
        <v>10457201589</v>
      </c>
      <c r="F41" s="6" t="s">
        <v>181</v>
      </c>
      <c r="G41" s="24" t="s">
        <v>182</v>
      </c>
      <c r="H41" s="26">
        <v>45720158</v>
      </c>
      <c r="I41" s="26"/>
      <c r="J41" s="6" t="s">
        <v>487</v>
      </c>
      <c r="K41" s="7">
        <v>45464</v>
      </c>
      <c r="L41" s="11">
        <v>3</v>
      </c>
      <c r="M41" s="7">
        <f t="shared" si="8"/>
        <v>46558</v>
      </c>
      <c r="N41" s="13">
        <f t="shared" ca="1" si="9"/>
        <v>339</v>
      </c>
      <c r="O41" s="11" t="str">
        <f t="shared" ca="1" si="10"/>
        <v>VIGENTE</v>
      </c>
      <c r="P41" s="6" t="str">
        <f t="shared" si="11"/>
        <v>10457201589 LA EMPRESA VIOLETT SPA SAHIRA LORELEY ROJAS CALAMPA 45720158 0061-2024 ESTILISMO</v>
      </c>
      <c r="Q41" s="18" t="s">
        <v>1212</v>
      </c>
    </row>
    <row r="42" spans="1:17" s="9" customFormat="1" ht="27.6" customHeight="1">
      <c r="A42" s="6" t="s">
        <v>183</v>
      </c>
      <c r="B42" s="6" t="s">
        <v>1285</v>
      </c>
      <c r="C42" s="11">
        <v>2024</v>
      </c>
      <c r="D42" s="6" t="s">
        <v>184</v>
      </c>
      <c r="E42" s="11">
        <v>20603129858</v>
      </c>
      <c r="F42" s="6" t="s">
        <v>185</v>
      </c>
      <c r="G42" s="6" t="s">
        <v>186</v>
      </c>
      <c r="H42" s="26">
        <v>27081015</v>
      </c>
      <c r="I42" s="26"/>
      <c r="J42" s="6" t="s">
        <v>1247</v>
      </c>
      <c r="K42" s="7">
        <v>45616</v>
      </c>
      <c r="L42" s="11">
        <v>3</v>
      </c>
      <c r="M42" s="7">
        <f t="shared" si="8"/>
        <v>46710</v>
      </c>
      <c r="N42" s="13">
        <f t="shared" ca="1" si="9"/>
        <v>491</v>
      </c>
      <c r="O42" s="11" t="str">
        <f t="shared" ca="1" si="10"/>
        <v>VIGENTE</v>
      </c>
      <c r="P42" s="6" t="str">
        <f t="shared" si="11"/>
        <v>20603129858 B&amp;D MARTOS EIRL LENNEN RAMIRO MARTOS MARIN 27081015 0161-2024 PANIFICACIÓN INDUSTRIAL</v>
      </c>
      <c r="Q42" s="18"/>
    </row>
    <row r="43" spans="1:17" s="9" customFormat="1" ht="27.6" customHeight="1">
      <c r="A43" s="6" t="s">
        <v>187</v>
      </c>
      <c r="B43" s="6" t="s">
        <v>1286</v>
      </c>
      <c r="C43" s="11">
        <v>2024</v>
      </c>
      <c r="D43" s="6" t="s">
        <v>188</v>
      </c>
      <c r="E43" s="11">
        <v>10725364267</v>
      </c>
      <c r="F43" s="6" t="s">
        <v>189</v>
      </c>
      <c r="G43" s="6" t="s">
        <v>190</v>
      </c>
      <c r="H43" s="26">
        <v>725364267</v>
      </c>
      <c r="I43" s="26"/>
      <c r="J43" s="6" t="s">
        <v>1248</v>
      </c>
      <c r="K43" s="7">
        <v>45464</v>
      </c>
      <c r="L43" s="11">
        <v>3</v>
      </c>
      <c r="M43" s="7">
        <f t="shared" si="8"/>
        <v>46558</v>
      </c>
      <c r="N43" s="13">
        <f t="shared" ca="1" si="9"/>
        <v>339</v>
      </c>
      <c r="O43" s="11" t="str">
        <f t="shared" ca="1" si="10"/>
        <v>VIGENTE</v>
      </c>
      <c r="P43" s="6" t="str">
        <f t="shared" si="11"/>
        <v>10725364267 CREACIONES AYUMI MILAGROS RAMOS SALDAÑA 725364267 0063-2024 TEXTIL Y CONFECCIÓN</v>
      </c>
      <c r="Q43" s="18"/>
    </row>
    <row r="44" spans="1:17" s="9" customFormat="1" ht="27.6" customHeight="1">
      <c r="A44" s="6" t="s">
        <v>191</v>
      </c>
      <c r="B44" s="6" t="s">
        <v>1287</v>
      </c>
      <c r="C44" s="11">
        <v>2024</v>
      </c>
      <c r="D44" s="6" t="s">
        <v>192</v>
      </c>
      <c r="E44" s="11">
        <v>10403035047</v>
      </c>
      <c r="F44" s="6" t="s">
        <v>193</v>
      </c>
      <c r="G44" s="6" t="s">
        <v>194</v>
      </c>
      <c r="H44" s="26">
        <v>40303504</v>
      </c>
      <c r="I44" s="26"/>
      <c r="J44" s="6" t="s">
        <v>1245</v>
      </c>
      <c r="K44" s="7">
        <v>45464</v>
      </c>
      <c r="L44" s="11">
        <v>3</v>
      </c>
      <c r="M44" s="7">
        <f t="shared" si="8"/>
        <v>46558</v>
      </c>
      <c r="N44" s="13">
        <f t="shared" ca="1" si="9"/>
        <v>339</v>
      </c>
      <c r="O44" s="11" t="str">
        <f t="shared" ca="1" si="10"/>
        <v>VIGENTE</v>
      </c>
      <c r="P44" s="6" t="str">
        <f t="shared" si="11"/>
        <v>10403035047 ASESORIA Y CONSULTORIA FYH JORGE LUIS RAMOS DAVILA 40303504 0067-2024 COMPUTACIÓN E INFORMÁTICA</v>
      </c>
      <c r="Q44" s="18"/>
    </row>
    <row r="45" spans="1:17" s="9" customFormat="1" ht="27.6" customHeight="1">
      <c r="A45" s="6" t="s">
        <v>195</v>
      </c>
      <c r="B45" s="6" t="s">
        <v>1288</v>
      </c>
      <c r="C45" s="11">
        <v>2024</v>
      </c>
      <c r="D45" s="24" t="s">
        <v>196</v>
      </c>
      <c r="E45" s="11">
        <v>20611177497</v>
      </c>
      <c r="F45" s="6" t="s">
        <v>197</v>
      </c>
      <c r="G45" s="6" t="s">
        <v>198</v>
      </c>
      <c r="H45" s="26">
        <v>61117749</v>
      </c>
      <c r="I45" s="26"/>
      <c r="J45" s="6" t="s">
        <v>487</v>
      </c>
      <c r="K45" s="7">
        <v>45464</v>
      </c>
      <c r="L45" s="11">
        <v>3</v>
      </c>
      <c r="M45" s="7">
        <f t="shared" si="8"/>
        <v>46558</v>
      </c>
      <c r="N45" s="13">
        <f t="shared" ca="1" si="9"/>
        <v>339</v>
      </c>
      <c r="O45" s="11" t="str">
        <f t="shared" ca="1" si="10"/>
        <v>VIGENTE</v>
      </c>
      <c r="P45" s="6" t="str">
        <f t="shared" si="11"/>
        <v>20611177497 LA EMPRESA PATTY BEAUTY SALON SPA E.I.R PATRICIA CASTOPE CHUNQUE 61117749 0068-2024 ESTILISMO</v>
      </c>
      <c r="Q45" s="18"/>
    </row>
    <row r="46" spans="1:17" s="9" customFormat="1" ht="27.6" customHeight="1">
      <c r="A46" s="6" t="s">
        <v>199</v>
      </c>
      <c r="B46" s="6" t="s">
        <v>1289</v>
      </c>
      <c r="C46" s="11">
        <v>2024</v>
      </c>
      <c r="D46" s="6" t="s">
        <v>200</v>
      </c>
      <c r="E46" s="11">
        <v>20601068967</v>
      </c>
      <c r="F46" s="6" t="s">
        <v>201</v>
      </c>
      <c r="G46" s="6" t="s">
        <v>202</v>
      </c>
      <c r="H46" s="26">
        <v>44727557</v>
      </c>
      <c r="I46" s="26"/>
      <c r="J46" s="6" t="s">
        <v>487</v>
      </c>
      <c r="K46" s="7">
        <v>45464</v>
      </c>
      <c r="L46" s="11">
        <v>3</v>
      </c>
      <c r="M46" s="7">
        <f t="shared" si="8"/>
        <v>46558</v>
      </c>
      <c r="N46" s="13">
        <f t="shared" ca="1" si="9"/>
        <v>339</v>
      </c>
      <c r="O46" s="11" t="str">
        <f t="shared" ca="1" si="10"/>
        <v>VIGENTE</v>
      </c>
      <c r="P46" s="6" t="str">
        <f t="shared" si="11"/>
        <v>20601068967 LA EMPRESA CAR 91 BARBER SHOP ALEJANDRO VALDIVIA MINCHAN 44727557 0069-2024 ESTILISMO</v>
      </c>
      <c r="Q46" s="18"/>
    </row>
    <row r="47" spans="1:17" s="9" customFormat="1" ht="27.6" customHeight="1">
      <c r="A47" s="6" t="s">
        <v>203</v>
      </c>
      <c r="B47" s="6" t="s">
        <v>1290</v>
      </c>
      <c r="C47" s="11">
        <v>2024</v>
      </c>
      <c r="D47" s="6" t="s">
        <v>204</v>
      </c>
      <c r="E47" s="11">
        <v>10467906670</v>
      </c>
      <c r="F47" s="6" t="s">
        <v>205</v>
      </c>
      <c r="G47" s="24" t="s">
        <v>206</v>
      </c>
      <c r="H47" s="26">
        <v>46790667</v>
      </c>
      <c r="I47" s="26"/>
      <c r="J47" s="6" t="s">
        <v>487</v>
      </c>
      <c r="K47" s="7">
        <v>45464</v>
      </c>
      <c r="L47" s="11">
        <v>3</v>
      </c>
      <c r="M47" s="7">
        <f t="shared" si="8"/>
        <v>46558</v>
      </c>
      <c r="N47" s="13">
        <f t="shared" ca="1" si="9"/>
        <v>339</v>
      </c>
      <c r="O47" s="11" t="str">
        <f t="shared" ca="1" si="10"/>
        <v>VIGENTE</v>
      </c>
      <c r="P47" s="6" t="str">
        <f t="shared" si="11"/>
        <v>10467906670 EL SALON Y SPA ROXI ROSA MIRELLA PITA VASQUEZ 46790667 0070-2024 ESTILISMO</v>
      </c>
      <c r="Q47" s="18" t="s">
        <v>1212</v>
      </c>
    </row>
    <row r="48" spans="1:17" s="9" customFormat="1" ht="27.6" customHeight="1">
      <c r="A48" s="6" t="s">
        <v>207</v>
      </c>
      <c r="B48" s="6" t="s">
        <v>1291</v>
      </c>
      <c r="C48" s="11">
        <v>2024</v>
      </c>
      <c r="D48" s="6" t="s">
        <v>208</v>
      </c>
      <c r="E48" s="11">
        <v>10267179293</v>
      </c>
      <c r="F48" s="6" t="s">
        <v>209</v>
      </c>
      <c r="G48" s="6" t="s">
        <v>210</v>
      </c>
      <c r="H48" s="26">
        <v>26717929</v>
      </c>
      <c r="I48" s="26"/>
      <c r="J48" s="6" t="s">
        <v>1245</v>
      </c>
      <c r="K48" s="7">
        <v>45464</v>
      </c>
      <c r="L48" s="11">
        <v>3</v>
      </c>
      <c r="M48" s="7">
        <f t="shared" si="8"/>
        <v>46558</v>
      </c>
      <c r="N48" s="13">
        <f t="shared" ca="1" si="9"/>
        <v>339</v>
      </c>
      <c r="O48" s="11" t="str">
        <f t="shared" ca="1" si="10"/>
        <v>VIGENTE</v>
      </c>
      <c r="P48" s="6" t="str">
        <f t="shared" si="11"/>
        <v>10267179293 EL SALON Y SPA LUZ DE IMAGEN MARCO ANTONIO VILLANUEVA ARANA 26717929 0071-2024 COMPUTACIÓN E INFORMÁTICA</v>
      </c>
      <c r="Q48" s="18"/>
    </row>
    <row r="49" spans="1:17" s="9" customFormat="1" ht="27.6" customHeight="1">
      <c r="A49" s="6" t="s">
        <v>211</v>
      </c>
      <c r="B49" s="6" t="s">
        <v>1292</v>
      </c>
      <c r="C49" s="11">
        <v>2024</v>
      </c>
      <c r="D49" s="6" t="s">
        <v>212</v>
      </c>
      <c r="E49" s="11">
        <v>20604131180</v>
      </c>
      <c r="F49" s="6" t="s">
        <v>213</v>
      </c>
      <c r="G49" s="6" t="s">
        <v>214</v>
      </c>
      <c r="H49" s="26">
        <v>60413118</v>
      </c>
      <c r="I49" s="26"/>
      <c r="J49" s="6" t="s">
        <v>466</v>
      </c>
      <c r="K49" s="7">
        <v>45467</v>
      </c>
      <c r="L49" s="11">
        <v>3</v>
      </c>
      <c r="M49" s="7">
        <f t="shared" si="8"/>
        <v>46561</v>
      </c>
      <c r="N49" s="13">
        <f t="shared" ca="1" si="9"/>
        <v>342</v>
      </c>
      <c r="O49" s="11" t="str">
        <f t="shared" ca="1" si="10"/>
        <v>VIGENTE</v>
      </c>
      <c r="P49" s="6" t="str">
        <f t="shared" si="11"/>
        <v>20604131180 RESTAURANT LA CASCADA JORGE LUIS LLAQUE LOPEZ 60413118 0074-2024 COCINA</v>
      </c>
      <c r="Q49" s="18"/>
    </row>
    <row r="50" spans="1:17" s="9" customFormat="1" ht="27.6" customHeight="1">
      <c r="A50" s="6" t="s">
        <v>215</v>
      </c>
      <c r="B50" s="6" t="s">
        <v>1293</v>
      </c>
      <c r="C50" s="11">
        <v>2024</v>
      </c>
      <c r="D50" s="6" t="s">
        <v>216</v>
      </c>
      <c r="E50" s="11">
        <v>20610254331</v>
      </c>
      <c r="F50" s="6" t="s">
        <v>217</v>
      </c>
      <c r="G50" s="6" t="s">
        <v>218</v>
      </c>
      <c r="H50" s="26">
        <v>61025433</v>
      </c>
      <c r="I50" s="26"/>
      <c r="J50" s="6" t="s">
        <v>1244</v>
      </c>
      <c r="K50" s="7">
        <v>45467</v>
      </c>
      <c r="L50" s="11">
        <v>3</v>
      </c>
      <c r="M50" s="7">
        <f t="shared" si="8"/>
        <v>46561</v>
      </c>
      <c r="N50" s="13">
        <f t="shared" ca="1" si="9"/>
        <v>342</v>
      </c>
      <c r="O50" s="11" t="str">
        <f t="shared" ca="1" si="10"/>
        <v>VIGENTE</v>
      </c>
      <c r="P50" s="6" t="str">
        <f t="shared" si="11"/>
        <v>20610254331 INVERSIONES MAT USAC EDUARDO ALFONSO MATTO GUARDIA 61025433 0075-2024 ADMINISTRACIÓN Y COMERCIO</v>
      </c>
      <c r="Q50" s="18"/>
    </row>
    <row r="51" spans="1:17" s="9" customFormat="1" ht="27.6" customHeight="1">
      <c r="A51" s="6" t="s">
        <v>219</v>
      </c>
      <c r="B51" s="6" t="s">
        <v>1294</v>
      </c>
      <c r="C51" s="11">
        <v>2024</v>
      </c>
      <c r="D51" s="6" t="s">
        <v>220</v>
      </c>
      <c r="E51" s="11">
        <v>20605459173</v>
      </c>
      <c r="F51" s="6" t="s">
        <v>221</v>
      </c>
      <c r="G51" s="6" t="s">
        <v>222</v>
      </c>
      <c r="H51" s="26">
        <v>43219846</v>
      </c>
      <c r="I51" s="26"/>
      <c r="J51" s="6" t="s">
        <v>466</v>
      </c>
      <c r="K51" s="7">
        <v>45467</v>
      </c>
      <c r="L51" s="11">
        <v>3</v>
      </c>
      <c r="M51" s="7">
        <f t="shared" si="8"/>
        <v>46561</v>
      </c>
      <c r="N51" s="13">
        <f t="shared" ca="1" si="9"/>
        <v>342</v>
      </c>
      <c r="O51" s="11" t="str">
        <f t="shared" ca="1" si="10"/>
        <v>VIGENTE</v>
      </c>
      <c r="P51" s="6" t="str">
        <f t="shared" si="11"/>
        <v>20605459173 EL RESTAURANT POLLOS Y PARRILLAS DONDE HERNAN E.I.R.L HERNAN MARIN ESTELA LOPEZ 43219846 0077-2024 COCINA</v>
      </c>
      <c r="Q51" s="18"/>
    </row>
    <row r="52" spans="1:17" s="9" customFormat="1" ht="27.6" customHeight="1">
      <c r="A52" s="6" t="s">
        <v>223</v>
      </c>
      <c r="B52" s="6" t="s">
        <v>1295</v>
      </c>
      <c r="C52" s="11">
        <v>2024</v>
      </c>
      <c r="D52" s="6" t="s">
        <v>224</v>
      </c>
      <c r="E52" s="11">
        <v>20496177551</v>
      </c>
      <c r="F52" s="6" t="s">
        <v>225</v>
      </c>
      <c r="G52" s="6" t="s">
        <v>226</v>
      </c>
      <c r="H52" s="26">
        <v>43219846</v>
      </c>
      <c r="I52" s="26"/>
      <c r="J52" s="6" t="s">
        <v>466</v>
      </c>
      <c r="K52" s="7">
        <v>45467</v>
      </c>
      <c r="L52" s="11">
        <v>3</v>
      </c>
      <c r="M52" s="7">
        <f t="shared" si="8"/>
        <v>46561</v>
      </c>
      <c r="N52" s="13">
        <f t="shared" ca="1" si="9"/>
        <v>342</v>
      </c>
      <c r="O52" s="11" t="str">
        <f t="shared" ca="1" si="10"/>
        <v>VIGENTE</v>
      </c>
      <c r="P52" s="6" t="str">
        <f t="shared" si="11"/>
        <v>20496177551 EL RESTAURANT JIIJUNA GOURMET SRL CRISTIAN JAVIER GUTIERREZ 43219846 0079-2024 COCINA</v>
      </c>
      <c r="Q52" s="18"/>
    </row>
    <row r="53" spans="1:17" s="9" customFormat="1" ht="27.6" customHeight="1">
      <c r="A53" s="6" t="s">
        <v>227</v>
      </c>
      <c r="B53" s="6" t="s">
        <v>1296</v>
      </c>
      <c r="C53" s="11">
        <v>2024</v>
      </c>
      <c r="D53" s="6" t="s">
        <v>228</v>
      </c>
      <c r="E53" s="11">
        <v>10433122076</v>
      </c>
      <c r="F53" s="6" t="s">
        <v>229</v>
      </c>
      <c r="G53" s="6" t="s">
        <v>230</v>
      </c>
      <c r="H53" s="26">
        <v>43312207</v>
      </c>
      <c r="I53" s="26"/>
      <c r="J53" s="6" t="s">
        <v>487</v>
      </c>
      <c r="K53" s="7">
        <v>45469</v>
      </c>
      <c r="L53" s="11">
        <v>3</v>
      </c>
      <c r="M53" s="7">
        <f t="shared" si="8"/>
        <v>46563</v>
      </c>
      <c r="N53" s="13">
        <f t="shared" ca="1" si="9"/>
        <v>344</v>
      </c>
      <c r="O53" s="11" t="str">
        <f t="shared" ca="1" si="10"/>
        <v>VIGENTE</v>
      </c>
      <c r="P53" s="6" t="str">
        <f t="shared" si="11"/>
        <v>10433122076 ERLY' S SALON &amp; SPA PITA VASQUEZ OSCAR 43312207 0081-2024 ESTILISMO</v>
      </c>
      <c r="Q53" s="18"/>
    </row>
    <row r="54" spans="1:17" s="9" customFormat="1" ht="27.6" customHeight="1">
      <c r="A54" s="6" t="s">
        <v>231</v>
      </c>
      <c r="B54" s="6" t="s">
        <v>1297</v>
      </c>
      <c r="C54" s="11">
        <v>2024</v>
      </c>
      <c r="D54" s="6" t="s">
        <v>232</v>
      </c>
      <c r="E54" s="11">
        <v>10432065141</v>
      </c>
      <c r="F54" s="6" t="s">
        <v>233</v>
      </c>
      <c r="G54" s="6" t="s">
        <v>234</v>
      </c>
      <c r="H54" s="26">
        <v>43219846</v>
      </c>
      <c r="I54" s="26"/>
      <c r="J54" s="6" t="s">
        <v>1247</v>
      </c>
      <c r="K54" s="7">
        <v>45467</v>
      </c>
      <c r="L54" s="11">
        <v>3</v>
      </c>
      <c r="M54" s="7">
        <f t="shared" si="8"/>
        <v>46561</v>
      </c>
      <c r="N54" s="13">
        <f t="shared" ca="1" si="9"/>
        <v>342</v>
      </c>
      <c r="O54" s="11" t="str">
        <f t="shared" ca="1" si="10"/>
        <v>VIGENTE</v>
      </c>
      <c r="P54" s="6" t="str">
        <f t="shared" si="11"/>
        <v>10432065141 LA PANADERIA Y PASTELERIA BENJAFRUTI LUIS MUÑOS RIOS 43219846 0083-2024 PANIFICACIÓN INDUSTRIAL</v>
      </c>
      <c r="Q54" s="18"/>
    </row>
    <row r="55" spans="1:17" s="9" customFormat="1" ht="27.6" customHeight="1">
      <c r="A55" s="6" t="s">
        <v>235</v>
      </c>
      <c r="B55" s="6" t="s">
        <v>1298</v>
      </c>
      <c r="C55" s="11">
        <v>2024</v>
      </c>
      <c r="D55" s="6" t="s">
        <v>236</v>
      </c>
      <c r="E55" s="11">
        <v>20570857976</v>
      </c>
      <c r="F55" s="6" t="s">
        <v>237</v>
      </c>
      <c r="G55" s="6" t="s">
        <v>238</v>
      </c>
      <c r="H55" s="26">
        <v>43219846</v>
      </c>
      <c r="I55" s="26"/>
      <c r="J55" s="6" t="s">
        <v>1247</v>
      </c>
      <c r="K55" s="7">
        <v>45467</v>
      </c>
      <c r="L55" s="11">
        <v>3</v>
      </c>
      <c r="M55" s="7">
        <f t="shared" si="8"/>
        <v>46561</v>
      </c>
      <c r="N55" s="13">
        <f t="shared" ca="1" si="9"/>
        <v>342</v>
      </c>
      <c r="O55" s="11" t="str">
        <f t="shared" ca="1" si="10"/>
        <v>VIGENTE</v>
      </c>
      <c r="P55" s="6" t="str">
        <f t="shared" si="11"/>
        <v>20570857976 LA PANDERIA Y PASTERIA D'.CATA LORGE LUIS MANOSALVA MEJIA 43219846 0084-2024 PANIFICACIÓN INDUSTRIAL</v>
      </c>
      <c r="Q55" s="18"/>
    </row>
    <row r="56" spans="1:17" s="9" customFormat="1" ht="27.6" customHeight="1">
      <c r="A56" s="6" t="s">
        <v>239</v>
      </c>
      <c r="B56" s="6" t="s">
        <v>1299</v>
      </c>
      <c r="C56" s="11">
        <v>2024</v>
      </c>
      <c r="D56" s="6" t="s">
        <v>240</v>
      </c>
      <c r="E56" s="11">
        <v>10701940461</v>
      </c>
      <c r="F56" s="6" t="s">
        <v>241</v>
      </c>
      <c r="G56" s="6" t="s">
        <v>242</v>
      </c>
      <c r="H56" s="26">
        <v>70194046</v>
      </c>
      <c r="I56" s="26"/>
      <c r="J56" s="6" t="s">
        <v>1245</v>
      </c>
      <c r="K56" s="7">
        <v>45467</v>
      </c>
      <c r="L56" s="11">
        <v>3</v>
      </c>
      <c r="M56" s="7">
        <f t="shared" si="8"/>
        <v>46561</v>
      </c>
      <c r="N56" s="13">
        <f t="shared" ca="1" si="9"/>
        <v>342</v>
      </c>
      <c r="O56" s="11" t="str">
        <f t="shared" ca="1" si="10"/>
        <v>VIGENTE</v>
      </c>
      <c r="P56" s="6" t="str">
        <f t="shared" si="11"/>
        <v>10701940461 N&amp;E STORE CACHI LINARES CRISTOPHER ALEJANDRO 70194046 0085-2024 COMPUTACIÓN E INFORMÁTICA</v>
      </c>
      <c r="Q56" s="18"/>
    </row>
    <row r="57" spans="1:17" s="9" customFormat="1" ht="27.6" customHeight="1">
      <c r="A57" s="6" t="s">
        <v>243</v>
      </c>
      <c r="B57" s="6" t="s">
        <v>1300</v>
      </c>
      <c r="C57" s="11">
        <v>2024</v>
      </c>
      <c r="D57" s="6" t="s">
        <v>244</v>
      </c>
      <c r="E57" s="11">
        <v>10434524411</v>
      </c>
      <c r="F57" s="6" t="s">
        <v>245</v>
      </c>
      <c r="G57" s="6" t="s">
        <v>246</v>
      </c>
      <c r="H57" s="26">
        <v>43219846</v>
      </c>
      <c r="I57" s="26"/>
      <c r="J57" s="6" t="s">
        <v>1247</v>
      </c>
      <c r="K57" s="7">
        <v>45467</v>
      </c>
      <c r="L57" s="11">
        <v>3</v>
      </c>
      <c r="M57" s="7">
        <f t="shared" si="8"/>
        <v>46561</v>
      </c>
      <c r="N57" s="13">
        <f t="shared" ca="1" si="9"/>
        <v>342</v>
      </c>
      <c r="O57" s="11" t="str">
        <f t="shared" ca="1" si="10"/>
        <v>VIGENTE</v>
      </c>
      <c r="P57" s="6" t="str">
        <f t="shared" si="11"/>
        <v>10434524411 LA PANADERIA Y PASTELERIA DURANT ROSARIO DURANT LUCANO 43219846 0088-2024 PANIFICACIÓN INDUSTRIAL</v>
      </c>
      <c r="Q57" s="18"/>
    </row>
    <row r="58" spans="1:17" s="9" customFormat="1" ht="27.6" customHeight="1">
      <c r="A58" s="6" t="s">
        <v>247</v>
      </c>
      <c r="B58" s="6" t="s">
        <v>1301</v>
      </c>
      <c r="C58" s="11">
        <v>2024</v>
      </c>
      <c r="D58" s="6" t="s">
        <v>248</v>
      </c>
      <c r="E58" s="11">
        <v>20609437651</v>
      </c>
      <c r="F58" s="6" t="s">
        <v>249</v>
      </c>
      <c r="G58" s="6" t="s">
        <v>250</v>
      </c>
      <c r="H58" s="26">
        <v>43219846</v>
      </c>
      <c r="I58" s="26"/>
      <c r="J58" s="6" t="s">
        <v>487</v>
      </c>
      <c r="K58" s="7">
        <v>45467</v>
      </c>
      <c r="L58" s="11">
        <v>3</v>
      </c>
      <c r="M58" s="7">
        <f t="shared" si="8"/>
        <v>46561</v>
      </c>
      <c r="N58" s="13">
        <f t="shared" ca="1" si="9"/>
        <v>342</v>
      </c>
      <c r="O58" s="11" t="str">
        <f t="shared" ca="1" si="10"/>
        <v>VIGENTE</v>
      </c>
      <c r="P58" s="6" t="str">
        <f t="shared" si="11"/>
        <v>20609437651 SUMAK SALON WUALTER CHAVARRY URTEAGA 43219846 0093-2024 ESTILISMO</v>
      </c>
      <c r="Q58" s="18"/>
    </row>
    <row r="59" spans="1:17" s="9" customFormat="1" ht="27.6" customHeight="1">
      <c r="A59" s="6" t="s">
        <v>251</v>
      </c>
      <c r="B59" s="6" t="s">
        <v>1302</v>
      </c>
      <c r="C59" s="11">
        <v>2024</v>
      </c>
      <c r="D59" s="6" t="s">
        <v>252</v>
      </c>
      <c r="E59" s="11">
        <v>10448944595</v>
      </c>
      <c r="F59" s="6" t="s">
        <v>253</v>
      </c>
      <c r="G59" s="6" t="s">
        <v>254</v>
      </c>
      <c r="H59" s="26">
        <v>43219846</v>
      </c>
      <c r="I59" s="26"/>
      <c r="J59" s="6" t="s">
        <v>487</v>
      </c>
      <c r="K59" s="7">
        <v>45467</v>
      </c>
      <c r="L59" s="11">
        <v>3</v>
      </c>
      <c r="M59" s="7">
        <f t="shared" si="8"/>
        <v>46561</v>
      </c>
      <c r="N59" s="13">
        <f t="shared" ca="1" si="9"/>
        <v>342</v>
      </c>
      <c r="O59" s="11" t="str">
        <f t="shared" ca="1" si="10"/>
        <v>VIGENTE</v>
      </c>
      <c r="P59" s="6" t="str">
        <f t="shared" si="11"/>
        <v>10448944595 HABANA BARBERIA &amp; SALON SEGURA GUARNIZ PERCY 43219846 0095-2024 ESTILISMO</v>
      </c>
      <c r="Q59" s="18"/>
    </row>
    <row r="60" spans="1:17" s="9" customFormat="1" ht="27.6" customHeight="1">
      <c r="A60" s="6" t="s">
        <v>255</v>
      </c>
      <c r="B60" s="6" t="s">
        <v>1303</v>
      </c>
      <c r="C60" s="11">
        <v>2024</v>
      </c>
      <c r="D60" s="6" t="s">
        <v>256</v>
      </c>
      <c r="E60" s="11">
        <v>20611931418</v>
      </c>
      <c r="F60" s="6" t="s">
        <v>257</v>
      </c>
      <c r="G60" s="6" t="s">
        <v>258</v>
      </c>
      <c r="H60" s="26">
        <v>46864867</v>
      </c>
      <c r="I60" s="26"/>
      <c r="J60" s="6" t="s">
        <v>487</v>
      </c>
      <c r="K60" s="7">
        <v>45467</v>
      </c>
      <c r="L60" s="11">
        <v>3</v>
      </c>
      <c r="M60" s="7">
        <f t="shared" si="8"/>
        <v>46561</v>
      </c>
      <c r="N60" s="13">
        <f t="shared" ca="1" si="9"/>
        <v>342</v>
      </c>
      <c r="O60" s="11" t="str">
        <f t="shared" ca="1" si="10"/>
        <v>VIGENTE</v>
      </c>
      <c r="P60" s="6" t="str">
        <f t="shared" si="11"/>
        <v>20611931418 ALISSANDRA BEAUTY STUDIO EIRL ALESSANDRA CHICHIZOLA AGUINAGA 46864867 0096-2024 ESTILISMO</v>
      </c>
      <c r="Q60" s="18"/>
    </row>
    <row r="61" spans="1:17" s="9" customFormat="1" ht="27.6" customHeight="1">
      <c r="A61" s="6" t="s">
        <v>259</v>
      </c>
      <c r="B61" s="6" t="s">
        <v>1304</v>
      </c>
      <c r="C61" s="11">
        <v>2024</v>
      </c>
      <c r="D61" s="6" t="s">
        <v>260</v>
      </c>
      <c r="E61" s="11">
        <v>10463313534</v>
      </c>
      <c r="F61" s="6" t="s">
        <v>261</v>
      </c>
      <c r="G61" s="6" t="s">
        <v>262</v>
      </c>
      <c r="H61" s="26">
        <v>46331353</v>
      </c>
      <c r="I61" s="26"/>
      <c r="J61" s="6" t="s">
        <v>487</v>
      </c>
      <c r="K61" s="7">
        <v>45467</v>
      </c>
      <c r="L61" s="11">
        <v>3</v>
      </c>
      <c r="M61" s="7">
        <f t="shared" si="8"/>
        <v>46561</v>
      </c>
      <c r="N61" s="13">
        <f t="shared" ca="1" si="9"/>
        <v>342</v>
      </c>
      <c r="O61" s="11" t="str">
        <f t="shared" ca="1" si="10"/>
        <v>VIGENTE</v>
      </c>
      <c r="P61" s="6" t="str">
        <f t="shared" si="11"/>
        <v>10463313534 LUAY NAIL SALON SPA LUCI AIMEE CENTURION LOPEZ 46331353 0097-2024 ESTILISMO</v>
      </c>
      <c r="Q61" s="18"/>
    </row>
    <row r="62" spans="1:17" s="9" customFormat="1" ht="27.6" customHeight="1">
      <c r="A62" s="6" t="s">
        <v>263</v>
      </c>
      <c r="B62" s="6" t="s">
        <v>1305</v>
      </c>
      <c r="C62" s="11">
        <v>2024</v>
      </c>
      <c r="D62" s="6" t="s">
        <v>264</v>
      </c>
      <c r="E62" s="11">
        <v>10467204411</v>
      </c>
      <c r="F62" s="6" t="s">
        <v>265</v>
      </c>
      <c r="G62" s="6" t="s">
        <v>266</v>
      </c>
      <c r="H62" s="26">
        <v>46720441</v>
      </c>
      <c r="I62" s="26"/>
      <c r="J62" s="6" t="s">
        <v>487</v>
      </c>
      <c r="K62" s="7">
        <v>45467</v>
      </c>
      <c r="L62" s="11">
        <v>3</v>
      </c>
      <c r="M62" s="7">
        <f t="shared" si="8"/>
        <v>46561</v>
      </c>
      <c r="N62" s="13">
        <f t="shared" ca="1" si="9"/>
        <v>342</v>
      </c>
      <c r="O62" s="11" t="str">
        <f t="shared" ca="1" si="10"/>
        <v>VIGENTE</v>
      </c>
      <c r="P62" s="6" t="str">
        <f t="shared" si="11"/>
        <v>10467204411 MAVA ESTILOS &amp; SPS MARIA LUISA ALEJOS MORALES 46720441 0098-2024 ESTILISMO</v>
      </c>
      <c r="Q62" s="18"/>
    </row>
    <row r="63" spans="1:17" s="9" customFormat="1" ht="27.6" customHeight="1">
      <c r="A63" s="6" t="s">
        <v>267</v>
      </c>
      <c r="B63" s="6" t="s">
        <v>1306</v>
      </c>
      <c r="C63" s="11">
        <v>2024</v>
      </c>
      <c r="D63" s="6" t="s">
        <v>268</v>
      </c>
      <c r="E63" s="11">
        <v>20602404065</v>
      </c>
      <c r="F63" s="6" t="s">
        <v>189</v>
      </c>
      <c r="G63" s="6" t="s">
        <v>269</v>
      </c>
      <c r="H63" s="26">
        <v>40675810</v>
      </c>
      <c r="I63" s="26"/>
      <c r="J63" s="6" t="s">
        <v>487</v>
      </c>
      <c r="K63" s="7">
        <v>45467</v>
      </c>
      <c r="L63" s="11">
        <v>3</v>
      </c>
      <c r="M63" s="7">
        <f t="shared" si="8"/>
        <v>46561</v>
      </c>
      <c r="N63" s="13">
        <f t="shared" ca="1" si="9"/>
        <v>342</v>
      </c>
      <c r="O63" s="11" t="str">
        <f t="shared" ca="1" si="10"/>
        <v>VIGENTE</v>
      </c>
      <c r="P63" s="6" t="str">
        <f t="shared" si="11"/>
        <v>20602404065 SPA PURITA BELLEZA EIRL MONICA RAQUEL ROJAS CHAVEZ 40675810 0100-2024 ESTILISMO</v>
      </c>
      <c r="Q63" s="18"/>
    </row>
    <row r="64" spans="1:17" s="9" customFormat="1" ht="27.6" customHeight="1">
      <c r="A64" s="6" t="s">
        <v>270</v>
      </c>
      <c r="B64" s="6" t="s">
        <v>1307</v>
      </c>
      <c r="C64" s="11">
        <v>2024</v>
      </c>
      <c r="D64" s="6" t="s">
        <v>271</v>
      </c>
      <c r="E64" s="11">
        <v>10441045170</v>
      </c>
      <c r="F64" s="6" t="s">
        <v>272</v>
      </c>
      <c r="G64" s="6" t="s">
        <v>273</v>
      </c>
      <c r="H64" s="26">
        <v>44104517</v>
      </c>
      <c r="I64" s="26"/>
      <c r="J64" s="6" t="s">
        <v>487</v>
      </c>
      <c r="K64" s="7">
        <v>45467</v>
      </c>
      <c r="L64" s="11">
        <v>3</v>
      </c>
      <c r="M64" s="7">
        <f t="shared" si="8"/>
        <v>46561</v>
      </c>
      <c r="N64" s="13">
        <f t="shared" ca="1" si="9"/>
        <v>342</v>
      </c>
      <c r="O64" s="11" t="str">
        <f t="shared" ca="1" si="10"/>
        <v>VIGENTE</v>
      </c>
      <c r="P64" s="6" t="str">
        <f t="shared" si="11"/>
        <v>10441045170 FER BARBER SHOP LUIS FERNANDO CULQUI GUTIERREZ 44104517 0101-2024 ESTILISMO</v>
      </c>
      <c r="Q64" s="18"/>
    </row>
    <row r="65" spans="1:17" s="9" customFormat="1" ht="27.6" customHeight="1">
      <c r="A65" s="6" t="s">
        <v>274</v>
      </c>
      <c r="B65" s="6" t="s">
        <v>1308</v>
      </c>
      <c r="C65" s="11">
        <v>2024</v>
      </c>
      <c r="D65" s="6" t="s">
        <v>275</v>
      </c>
      <c r="E65" s="11">
        <v>10454670669</v>
      </c>
      <c r="F65" s="6" t="s">
        <v>276</v>
      </c>
      <c r="G65" s="6" t="s">
        <v>277</v>
      </c>
      <c r="H65" s="26">
        <v>43219846</v>
      </c>
      <c r="I65" s="26"/>
      <c r="J65" s="6" t="s">
        <v>487</v>
      </c>
      <c r="K65" s="7">
        <v>45467</v>
      </c>
      <c r="L65" s="11">
        <v>3</v>
      </c>
      <c r="M65" s="7">
        <f t="shared" si="8"/>
        <v>46561</v>
      </c>
      <c r="N65" s="13">
        <f t="shared" ca="1" si="9"/>
        <v>342</v>
      </c>
      <c r="O65" s="11" t="str">
        <f t="shared" ca="1" si="10"/>
        <v>VIGENTE</v>
      </c>
      <c r="P65" s="6" t="str">
        <f t="shared" si="11"/>
        <v>10454670669 MELISSA SPA MELISSA PEREZ 43219846 0102-2024 ESTILISMO</v>
      </c>
      <c r="Q65" s="18"/>
    </row>
    <row r="66" spans="1:17" s="9" customFormat="1" ht="27.6" customHeight="1">
      <c r="A66" s="6" t="s">
        <v>278</v>
      </c>
      <c r="B66" s="6" t="s">
        <v>1309</v>
      </c>
      <c r="C66" s="11">
        <v>2024</v>
      </c>
      <c r="D66" s="6" t="s">
        <v>279</v>
      </c>
      <c r="E66" s="11">
        <v>649483</v>
      </c>
      <c r="F66" s="6" t="s">
        <v>280</v>
      </c>
      <c r="G66" s="6" t="s">
        <v>281</v>
      </c>
      <c r="H66" s="26">
        <v>43219846</v>
      </c>
      <c r="I66" s="26"/>
      <c r="J66" s="6" t="s">
        <v>1245</v>
      </c>
      <c r="K66" s="7">
        <v>45467</v>
      </c>
      <c r="L66" s="11">
        <v>3</v>
      </c>
      <c r="M66" s="7">
        <f t="shared" si="8"/>
        <v>46561</v>
      </c>
      <c r="N66" s="13">
        <f t="shared" ca="1" si="9"/>
        <v>342</v>
      </c>
      <c r="O66" s="11" t="str">
        <f t="shared" ca="1" si="10"/>
        <v>VIGENTE</v>
      </c>
      <c r="P66" s="6" t="str">
        <f t="shared" si="11"/>
        <v>649483 I.E "HNO MIGUEL CARDUCCI RIPIANI" MG.VENTURA VARGAS LEOLIS M 43219846 0104-2024 COMPUTACIÓN E INFORMÁTICA</v>
      </c>
      <c r="Q66" s="18"/>
    </row>
    <row r="67" spans="1:17" s="9" customFormat="1" ht="27.6" customHeight="1">
      <c r="A67" s="6" t="s">
        <v>282</v>
      </c>
      <c r="B67" s="6" t="s">
        <v>1310</v>
      </c>
      <c r="C67" s="11">
        <v>2024</v>
      </c>
      <c r="D67" s="6" t="s">
        <v>283</v>
      </c>
      <c r="E67" s="11">
        <v>20601881153</v>
      </c>
      <c r="F67" s="6" t="s">
        <v>284</v>
      </c>
      <c r="G67" s="6" t="s">
        <v>285</v>
      </c>
      <c r="H67" s="26">
        <v>43219846</v>
      </c>
      <c r="I67" s="26"/>
      <c r="J67" s="6" t="s">
        <v>487</v>
      </c>
      <c r="K67" s="7">
        <v>45467</v>
      </c>
      <c r="L67" s="11">
        <v>3</v>
      </c>
      <c r="M67" s="7">
        <f t="shared" si="8"/>
        <v>46561</v>
      </c>
      <c r="N67" s="13">
        <f t="shared" ca="1" si="9"/>
        <v>342</v>
      </c>
      <c r="O67" s="11" t="str">
        <f t="shared" ca="1" si="10"/>
        <v>VIGENTE</v>
      </c>
      <c r="P67" s="6" t="str">
        <f t="shared" si="11"/>
        <v>20601881153 ESTACION DE SERVICIOS MARYFE S.R.L WILSON HUAMAN RUDAS 43219846 0106-2024 ESTILISMO</v>
      </c>
      <c r="Q67" s="18"/>
    </row>
    <row r="68" spans="1:17" s="9" customFormat="1" ht="27.6" customHeight="1">
      <c r="A68" s="6" t="s">
        <v>286</v>
      </c>
      <c r="B68" s="6" t="s">
        <v>1311</v>
      </c>
      <c r="C68" s="11">
        <v>2024</v>
      </c>
      <c r="D68" s="6" t="s">
        <v>287</v>
      </c>
      <c r="E68" s="11">
        <v>20605319409</v>
      </c>
      <c r="F68" s="6" t="s">
        <v>288</v>
      </c>
      <c r="G68" s="6" t="s">
        <v>289</v>
      </c>
      <c r="H68" s="26">
        <v>43219846</v>
      </c>
      <c r="I68" s="26"/>
      <c r="J68" s="6" t="s">
        <v>1244</v>
      </c>
      <c r="K68" s="7">
        <v>45467</v>
      </c>
      <c r="L68" s="11">
        <v>3</v>
      </c>
      <c r="M68" s="7">
        <f t="shared" si="8"/>
        <v>46561</v>
      </c>
      <c r="N68" s="13">
        <f t="shared" ca="1" si="9"/>
        <v>342</v>
      </c>
      <c r="O68" s="11" t="str">
        <f t="shared" ca="1" si="10"/>
        <v>VIGENTE</v>
      </c>
      <c r="P68" s="6" t="str">
        <f t="shared" si="11"/>
        <v>20605319409 JEHBN EIR JHON EDY HUAMAN BAUTISTA 43219846 0108-2024 ADMINISTRACIÓN Y COMERCIO</v>
      </c>
      <c r="Q68" s="18"/>
    </row>
    <row r="69" spans="1:17" s="9" customFormat="1" ht="27.6" customHeight="1">
      <c r="A69" s="6" t="s">
        <v>290</v>
      </c>
      <c r="B69" s="6" t="s">
        <v>1387</v>
      </c>
      <c r="C69" s="11">
        <v>2024</v>
      </c>
      <c r="D69" s="6" t="s">
        <v>291</v>
      </c>
      <c r="E69" s="11">
        <v>20368800741</v>
      </c>
      <c r="F69" s="6" t="s">
        <v>292</v>
      </c>
      <c r="G69" s="6" t="s">
        <v>293</v>
      </c>
      <c r="H69" s="26">
        <v>26689482</v>
      </c>
      <c r="I69" s="26"/>
      <c r="J69" s="6" t="s">
        <v>1245</v>
      </c>
      <c r="K69" s="7">
        <v>45467</v>
      </c>
      <c r="L69" s="11">
        <v>3</v>
      </c>
      <c r="M69" s="7">
        <f t="shared" si="8"/>
        <v>46561</v>
      </c>
      <c r="N69" s="13">
        <f t="shared" ca="1" si="9"/>
        <v>342</v>
      </c>
      <c r="O69" s="11" t="str">
        <f t="shared" ca="1" si="10"/>
        <v>VIGENTE</v>
      </c>
      <c r="P69" s="6" t="str">
        <f t="shared" si="11"/>
        <v>20368800741 MEGAVISION CANAL 45 GONZALO VALERA LEAL 26689482 0109-2024 COMPUTACIÓN E INFORMÁTICA</v>
      </c>
      <c r="Q69" s="18"/>
    </row>
    <row r="70" spans="1:17" s="9" customFormat="1" ht="27.6" customHeight="1">
      <c r="A70" s="6" t="s">
        <v>294</v>
      </c>
      <c r="B70" s="6" t="s">
        <v>1312</v>
      </c>
      <c r="C70" s="11">
        <v>2024</v>
      </c>
      <c r="D70" s="6" t="s">
        <v>295</v>
      </c>
      <c r="E70" s="11">
        <v>10430775451</v>
      </c>
      <c r="F70" s="6" t="s">
        <v>296</v>
      </c>
      <c r="G70" s="6" t="s">
        <v>297</v>
      </c>
      <c r="H70" s="26">
        <v>43219846</v>
      </c>
      <c r="I70" s="26"/>
      <c r="J70" s="6" t="s">
        <v>1245</v>
      </c>
      <c r="K70" s="7">
        <v>45467</v>
      </c>
      <c r="L70" s="11">
        <v>3</v>
      </c>
      <c r="M70" s="7">
        <f t="shared" ref="M70:M101" si="12">IF(OR(K70="",L70=""),"",DATE(YEAR(K70)+L70,MONTH(K70),DAY(K70))-1)</f>
        <v>46561</v>
      </c>
      <c r="N70" s="13">
        <f t="shared" ref="N70:N101" ca="1" si="13">IF(M70="","",M70-TODAY())</f>
        <v>342</v>
      </c>
      <c r="O70" s="11" t="str">
        <f t="shared" ref="O70:O101" ca="1" si="14">IF(M70="","SIN FECHA",IF(M70&lt;TODAY(),"VENCIDO",IF(M70-TODAY()&lt;=30,"POR VENCER","VIGENTE")))</f>
        <v>VIGENTE</v>
      </c>
      <c r="P70" s="6" t="str">
        <f t="shared" ref="P70:P101" si="15">UPPER(TRIM(E70&amp;" "&amp;D70&amp;" "&amp;G70&amp;" "&amp;H70&amp;" "&amp;I70&amp;" "&amp;B70&amp;" "&amp;J70))</f>
        <v>10430775451 LA I.E.P ALTAIR-CJAMARCA CINTHIA VELASQUEZ LOPEZ 43219846 0110-2024 COMPUTACIÓN E INFORMÁTICA</v>
      </c>
      <c r="Q70" s="18"/>
    </row>
    <row r="71" spans="1:17" s="9" customFormat="1" ht="27.6" customHeight="1">
      <c r="A71" s="6" t="s">
        <v>298</v>
      </c>
      <c r="B71" s="6" t="s">
        <v>1313</v>
      </c>
      <c r="C71" s="11">
        <v>2024</v>
      </c>
      <c r="D71" s="6" t="s">
        <v>299</v>
      </c>
      <c r="E71" s="11">
        <v>10806287461</v>
      </c>
      <c r="F71" s="6" t="s">
        <v>300</v>
      </c>
      <c r="G71" s="6" t="s">
        <v>301</v>
      </c>
      <c r="H71" s="26">
        <v>80628746</v>
      </c>
      <c r="I71" s="26"/>
      <c r="J71" s="6" t="s">
        <v>487</v>
      </c>
      <c r="K71" s="7">
        <v>45469</v>
      </c>
      <c r="L71" s="11">
        <v>3</v>
      </c>
      <c r="M71" s="7">
        <f t="shared" si="12"/>
        <v>46563</v>
      </c>
      <c r="N71" s="13">
        <f t="shared" ca="1" si="13"/>
        <v>344</v>
      </c>
      <c r="O71" s="11" t="str">
        <f t="shared" ca="1" si="14"/>
        <v>VIGENTE</v>
      </c>
      <c r="P71" s="6" t="str">
        <f t="shared" si="15"/>
        <v>10806287461 SALON &amp; SPA VERONICA VERONICA MEDINA ABANTO 80628746 0113-2024 ESTILISMO</v>
      </c>
      <c r="Q71" s="18"/>
    </row>
    <row r="72" spans="1:17" s="9" customFormat="1" ht="27.6" customHeight="1">
      <c r="A72" s="6" t="s">
        <v>302</v>
      </c>
      <c r="B72" s="6" t="s">
        <v>1314</v>
      </c>
      <c r="C72" s="11">
        <v>2024</v>
      </c>
      <c r="D72" s="6" t="s">
        <v>303</v>
      </c>
      <c r="E72" s="11">
        <v>20570583400</v>
      </c>
      <c r="F72" s="6" t="s">
        <v>304</v>
      </c>
      <c r="G72" s="6" t="s">
        <v>305</v>
      </c>
      <c r="H72" s="26">
        <v>40766912</v>
      </c>
      <c r="I72" s="26"/>
      <c r="J72" s="6" t="s">
        <v>1244</v>
      </c>
      <c r="K72" s="7">
        <v>45469</v>
      </c>
      <c r="L72" s="11">
        <v>3</v>
      </c>
      <c r="M72" s="7">
        <f t="shared" si="12"/>
        <v>46563</v>
      </c>
      <c r="N72" s="13">
        <f t="shared" ca="1" si="13"/>
        <v>344</v>
      </c>
      <c r="O72" s="11" t="str">
        <f t="shared" ca="1" si="14"/>
        <v>VIGENTE</v>
      </c>
      <c r="P72" s="6" t="str">
        <f t="shared" si="15"/>
        <v>20570583400 GRUPO HEREDIA JERIEIRL JERI VALENCIA LILIAN ELIZABETH 40766912 0114-2024 ADMINISTRACIÓN Y COMERCIO</v>
      </c>
      <c r="Q72" s="18"/>
    </row>
    <row r="73" spans="1:17" s="9" customFormat="1" ht="27.6" customHeight="1">
      <c r="A73" s="6" t="s">
        <v>306</v>
      </c>
      <c r="B73" s="6" t="s">
        <v>1315</v>
      </c>
      <c r="C73" s="11">
        <v>2024</v>
      </c>
      <c r="D73" s="6" t="s">
        <v>307</v>
      </c>
      <c r="E73" s="11">
        <v>10430565040</v>
      </c>
      <c r="F73" s="6" t="s">
        <v>308</v>
      </c>
      <c r="G73" s="6" t="s">
        <v>309</v>
      </c>
      <c r="H73" s="26">
        <v>430565040</v>
      </c>
      <c r="I73" s="26"/>
      <c r="J73" s="6" t="s">
        <v>1244</v>
      </c>
      <c r="K73" s="7">
        <v>45503</v>
      </c>
      <c r="L73" s="11">
        <v>3</v>
      </c>
      <c r="M73" s="7">
        <f t="shared" si="12"/>
        <v>46597</v>
      </c>
      <c r="N73" s="13">
        <f t="shared" ca="1" si="13"/>
        <v>378</v>
      </c>
      <c r="O73" s="11" t="str">
        <f t="shared" ca="1" si="14"/>
        <v>VIGENTE</v>
      </c>
      <c r="P73" s="6" t="str">
        <f t="shared" si="15"/>
        <v>10430565040 LA EMPRESA FORESFRUCTICOLA JM. ING.JAIME URIBE MINCHAN ARRIBASPLATA 430565040 0116-2024 ADMINISTRACIÓN Y COMERCIO</v>
      </c>
      <c r="Q73" s="18"/>
    </row>
    <row r="74" spans="1:17" s="9" customFormat="1" ht="27.6" customHeight="1">
      <c r="A74" s="6" t="s">
        <v>310</v>
      </c>
      <c r="B74" s="6" t="s">
        <v>1316</v>
      </c>
      <c r="C74" s="11">
        <v>2024</v>
      </c>
      <c r="D74" s="6" t="s">
        <v>311</v>
      </c>
      <c r="E74" s="11">
        <v>20610894781</v>
      </c>
      <c r="F74" s="6" t="s">
        <v>312</v>
      </c>
      <c r="G74" s="6" t="s">
        <v>313</v>
      </c>
      <c r="H74" s="26">
        <v>45145234</v>
      </c>
      <c r="I74" s="26"/>
      <c r="J74" s="6" t="s">
        <v>487</v>
      </c>
      <c r="K74" s="7">
        <v>45503</v>
      </c>
      <c r="L74" s="11">
        <v>3</v>
      </c>
      <c r="M74" s="7">
        <f t="shared" si="12"/>
        <v>46597</v>
      </c>
      <c r="N74" s="13">
        <f t="shared" ca="1" si="13"/>
        <v>378</v>
      </c>
      <c r="O74" s="11" t="str">
        <f t="shared" ca="1" si="14"/>
        <v>VIGENTE</v>
      </c>
      <c r="P74" s="6" t="str">
        <f t="shared" si="15"/>
        <v>20610894781 LA FEMME AMOR POR TI S.R.L LIZETH MARDELY CORVERA FIGUEROA 45145234 0117-2024 ESTILISMO</v>
      </c>
      <c r="Q74" s="18"/>
    </row>
    <row r="75" spans="1:17" s="9" customFormat="1" ht="27.6" customHeight="1">
      <c r="A75" s="6" t="s">
        <v>314</v>
      </c>
      <c r="B75" s="6" t="s">
        <v>1317</v>
      </c>
      <c r="C75" s="11">
        <v>2024</v>
      </c>
      <c r="D75" s="6" t="s">
        <v>315</v>
      </c>
      <c r="E75" s="11">
        <v>1340801</v>
      </c>
      <c r="F75" s="6" t="s">
        <v>316</v>
      </c>
      <c r="G75" s="6" t="s">
        <v>317</v>
      </c>
      <c r="H75" s="26">
        <v>16601562</v>
      </c>
      <c r="I75" s="26"/>
      <c r="J75" s="6" t="s">
        <v>487</v>
      </c>
      <c r="K75" s="7">
        <v>45503</v>
      </c>
      <c r="L75" s="11">
        <v>3</v>
      </c>
      <c r="M75" s="7">
        <f t="shared" si="12"/>
        <v>46597</v>
      </c>
      <c r="N75" s="13">
        <f t="shared" ca="1" si="13"/>
        <v>378</v>
      </c>
      <c r="O75" s="11" t="str">
        <f t="shared" ca="1" si="14"/>
        <v>VIGENTE</v>
      </c>
      <c r="P75" s="6" t="str">
        <f t="shared" si="15"/>
        <v>1340801 I.E IRENE SILVA DE SANTOLALLA-CEBA CLODOMIRO VASQUEZ REQUEJO 16601562 0118-2024 ESTILISMO</v>
      </c>
      <c r="Q75" s="18"/>
    </row>
    <row r="76" spans="1:17" s="9" customFormat="1" ht="27.6" customHeight="1">
      <c r="A76" s="6" t="s">
        <v>318</v>
      </c>
      <c r="B76" s="6" t="s">
        <v>1318</v>
      </c>
      <c r="C76" s="11">
        <v>2024</v>
      </c>
      <c r="D76" s="6" t="s">
        <v>319</v>
      </c>
      <c r="E76" s="11">
        <v>20148258601</v>
      </c>
      <c r="F76" s="6" t="s">
        <v>320</v>
      </c>
      <c r="G76" s="6" t="s">
        <v>321</v>
      </c>
      <c r="H76" s="26">
        <v>26690424</v>
      </c>
      <c r="I76" s="26"/>
      <c r="J76" s="6" t="s">
        <v>613</v>
      </c>
      <c r="K76" s="7">
        <v>45548</v>
      </c>
      <c r="L76" s="11">
        <v>3</v>
      </c>
      <c r="M76" s="7">
        <f t="shared" si="12"/>
        <v>46642</v>
      </c>
      <c r="N76" s="13">
        <f t="shared" ca="1" si="13"/>
        <v>423</v>
      </c>
      <c r="O76" s="11" t="str">
        <f t="shared" ca="1" si="14"/>
        <v>VIGENTE</v>
      </c>
      <c r="P76" s="6" t="str">
        <f t="shared" si="15"/>
        <v>20148258601 LA UNIVERCIDAD NACIONAL DE CAJAMARCA IVAN ALEJANDRO LEON CASTRO 26690424 0119-2024 SERVICIOS SOCIALES Y DE SALUD</v>
      </c>
      <c r="Q76" s="18"/>
    </row>
    <row r="77" spans="1:17" s="9" customFormat="1" ht="27.6" customHeight="1">
      <c r="A77" s="6" t="s">
        <v>322</v>
      </c>
      <c r="B77" s="6" t="s">
        <v>1319</v>
      </c>
      <c r="C77" s="11">
        <v>2024</v>
      </c>
      <c r="D77" s="6" t="s">
        <v>323</v>
      </c>
      <c r="E77" s="11">
        <v>20601997674</v>
      </c>
      <c r="F77" s="6" t="s">
        <v>324</v>
      </c>
      <c r="G77" s="6" t="s">
        <v>325</v>
      </c>
      <c r="H77" s="26">
        <v>60904644</v>
      </c>
      <c r="I77" s="26"/>
      <c r="J77" s="6" t="s">
        <v>1246</v>
      </c>
      <c r="K77" s="7">
        <v>45551</v>
      </c>
      <c r="L77" s="11">
        <v>3</v>
      </c>
      <c r="M77" s="7">
        <f t="shared" si="12"/>
        <v>46645</v>
      </c>
      <c r="N77" s="13">
        <f t="shared" ca="1" si="13"/>
        <v>426</v>
      </c>
      <c r="O77" s="11" t="str">
        <f t="shared" ca="1" si="14"/>
        <v>VIGENTE</v>
      </c>
      <c r="P77" s="6" t="str">
        <f t="shared" si="15"/>
        <v>20601997674 SERVICIOS GENERALES ELECTROCENTER EIRL MARCELINO SALINAS VASQUEZ 60904644 0120-2024 ELECTRICIDAD</v>
      </c>
      <c r="Q77" s="18"/>
    </row>
    <row r="78" spans="1:17" s="9" customFormat="1" ht="27.6" customHeight="1">
      <c r="A78" s="6" t="s">
        <v>326</v>
      </c>
      <c r="B78" s="6" t="s">
        <v>1320</v>
      </c>
      <c r="C78" s="11">
        <v>2024</v>
      </c>
      <c r="D78" s="6" t="s">
        <v>327</v>
      </c>
      <c r="E78" s="11">
        <v>10408042858</v>
      </c>
      <c r="F78" s="6" t="s">
        <v>328</v>
      </c>
      <c r="G78" s="6" t="s">
        <v>329</v>
      </c>
      <c r="H78" s="26">
        <v>40804285</v>
      </c>
      <c r="I78" s="26"/>
      <c r="J78" s="6" t="s">
        <v>1248</v>
      </c>
      <c r="K78" s="7">
        <v>45548</v>
      </c>
      <c r="L78" s="11">
        <v>3</v>
      </c>
      <c r="M78" s="7">
        <f t="shared" si="12"/>
        <v>46642</v>
      </c>
      <c r="N78" s="13">
        <f t="shared" ca="1" si="13"/>
        <v>423</v>
      </c>
      <c r="O78" s="11" t="str">
        <f t="shared" ca="1" si="14"/>
        <v>VIGENTE</v>
      </c>
      <c r="P78" s="6" t="str">
        <f t="shared" si="15"/>
        <v>10408042858 CONFECCIONES MARIA MARIA TAFUR HERRERA 40804285 0121-2024 TEXTIL Y CONFECCIÓN</v>
      </c>
      <c r="Q78" s="18"/>
    </row>
    <row r="79" spans="1:17" s="9" customFormat="1" ht="27.6" customHeight="1">
      <c r="A79" s="6" t="s">
        <v>330</v>
      </c>
      <c r="B79" s="6" t="s">
        <v>1321</v>
      </c>
      <c r="C79" s="11">
        <v>2024</v>
      </c>
      <c r="D79" s="6" t="s">
        <v>331</v>
      </c>
      <c r="E79" s="11">
        <v>10486377891</v>
      </c>
      <c r="F79" s="6" t="s">
        <v>332</v>
      </c>
      <c r="G79" s="6" t="s">
        <v>333</v>
      </c>
      <c r="H79" s="26">
        <v>48637789</v>
      </c>
      <c r="I79" s="26"/>
      <c r="J79" s="6" t="s">
        <v>487</v>
      </c>
      <c r="K79" s="7">
        <v>45548</v>
      </c>
      <c r="L79" s="11">
        <v>3</v>
      </c>
      <c r="M79" s="7">
        <f t="shared" si="12"/>
        <v>46642</v>
      </c>
      <c r="N79" s="13">
        <f t="shared" ca="1" si="13"/>
        <v>423</v>
      </c>
      <c r="O79" s="11" t="str">
        <f t="shared" ca="1" si="14"/>
        <v>VIGENTE</v>
      </c>
      <c r="P79" s="6" t="str">
        <f t="shared" si="15"/>
        <v>10486377891 BARBERIA SALON VUEVO LOOK TINGAL ZAMBRANO HILDA 48637789 0122-2024 ESTILISMO</v>
      </c>
      <c r="Q79" s="18"/>
    </row>
    <row r="80" spans="1:17" s="9" customFormat="1" ht="27.6" customHeight="1">
      <c r="A80" s="6" t="s">
        <v>334</v>
      </c>
      <c r="B80" s="6" t="s">
        <v>1322</v>
      </c>
      <c r="C80" s="11">
        <v>2024</v>
      </c>
      <c r="D80" s="6" t="s">
        <v>335</v>
      </c>
      <c r="E80" s="11">
        <v>10481094670</v>
      </c>
      <c r="F80" s="6" t="s">
        <v>336</v>
      </c>
      <c r="G80" s="6" t="s">
        <v>337</v>
      </c>
      <c r="H80" s="26">
        <v>48109467</v>
      </c>
      <c r="I80" s="26"/>
      <c r="J80" s="6" t="s">
        <v>487</v>
      </c>
      <c r="K80" s="7">
        <v>45548</v>
      </c>
      <c r="L80" s="11">
        <v>3</v>
      </c>
      <c r="M80" s="7">
        <f t="shared" si="12"/>
        <v>46642</v>
      </c>
      <c r="N80" s="13">
        <f t="shared" ca="1" si="13"/>
        <v>423</v>
      </c>
      <c r="O80" s="11" t="str">
        <f t="shared" ca="1" si="14"/>
        <v>VIGENTE</v>
      </c>
      <c r="P80" s="6" t="str">
        <f t="shared" si="15"/>
        <v>10481094670 ADARA ESTETICA INTEGRAL NATALY MEDINA ORTEGA 48109467 0123-2024 ESTILISMO</v>
      </c>
      <c r="Q80" s="18"/>
    </row>
    <row r="81" spans="1:17" s="9" customFormat="1" ht="27.6" customHeight="1">
      <c r="A81" s="6" t="s">
        <v>338</v>
      </c>
      <c r="B81" s="6" t="s">
        <v>1323</v>
      </c>
      <c r="C81" s="11">
        <v>2024</v>
      </c>
      <c r="D81" s="6" t="s">
        <v>339</v>
      </c>
      <c r="E81" s="11">
        <v>20610139117</v>
      </c>
      <c r="F81" s="6" t="s">
        <v>340</v>
      </c>
      <c r="G81" s="6" t="s">
        <v>341</v>
      </c>
      <c r="H81" s="26">
        <v>46213675</v>
      </c>
      <c r="I81" s="26"/>
      <c r="J81" s="6" t="s">
        <v>1245</v>
      </c>
      <c r="K81" s="7">
        <v>45292</v>
      </c>
      <c r="L81" s="11">
        <v>3</v>
      </c>
      <c r="M81" s="7">
        <f t="shared" si="12"/>
        <v>46387</v>
      </c>
      <c r="N81" s="13">
        <f t="shared" ca="1" si="13"/>
        <v>168</v>
      </c>
      <c r="O81" s="11" t="str">
        <f t="shared" ca="1" si="14"/>
        <v>VIGENTE</v>
      </c>
      <c r="P81" s="6" t="str">
        <f t="shared" si="15"/>
        <v>20610139117 BEE NETWORK SAC CHAVEZ BRAVO JORGE EDSON 46213675 0124-2024 COMPUTACIÓN E INFORMÁTICA</v>
      </c>
      <c r="Q81" s="18" t="s">
        <v>1031</v>
      </c>
    </row>
    <row r="82" spans="1:17" s="9" customFormat="1" ht="27.6" customHeight="1">
      <c r="A82" s="6" t="s">
        <v>342</v>
      </c>
      <c r="B82" s="6" t="s">
        <v>1324</v>
      </c>
      <c r="C82" s="11">
        <v>2024</v>
      </c>
      <c r="D82" s="6" t="s">
        <v>343</v>
      </c>
      <c r="E82" s="11">
        <v>10442063970</v>
      </c>
      <c r="F82" s="6" t="s">
        <v>344</v>
      </c>
      <c r="G82" s="6" t="s">
        <v>345</v>
      </c>
      <c r="H82" s="26">
        <v>44206397</v>
      </c>
      <c r="I82" s="26"/>
      <c r="J82" s="6" t="s">
        <v>1245</v>
      </c>
      <c r="K82" s="7">
        <v>45566</v>
      </c>
      <c r="L82" s="11">
        <v>3</v>
      </c>
      <c r="M82" s="7">
        <f t="shared" si="12"/>
        <v>46660</v>
      </c>
      <c r="N82" s="13">
        <f t="shared" ca="1" si="13"/>
        <v>441</v>
      </c>
      <c r="O82" s="11" t="str">
        <f t="shared" ca="1" si="14"/>
        <v>VIGENTE</v>
      </c>
      <c r="P82" s="6" t="str">
        <f t="shared" si="15"/>
        <v>10442063970 FOTOCOPIADOS OSCAR OSCAR DARIO ROJAS MUÑOZ 44206397 0126-2024 COMPUTACIÓN E INFORMÁTICA</v>
      </c>
      <c r="Q82" s="18"/>
    </row>
    <row r="83" spans="1:17" s="9" customFormat="1" ht="27.6" customHeight="1">
      <c r="A83" s="6" t="s">
        <v>346</v>
      </c>
      <c r="B83" s="6" t="s">
        <v>1325</v>
      </c>
      <c r="C83" s="11">
        <v>2024</v>
      </c>
      <c r="D83" s="6" t="s">
        <v>347</v>
      </c>
      <c r="E83" s="11">
        <v>10413497341</v>
      </c>
      <c r="F83" s="6" t="s">
        <v>348</v>
      </c>
      <c r="G83" s="6" t="s">
        <v>349</v>
      </c>
      <c r="H83" s="26">
        <v>41349734</v>
      </c>
      <c r="I83" s="26"/>
      <c r="J83" s="6" t="s">
        <v>487</v>
      </c>
      <c r="K83" s="7">
        <v>45580</v>
      </c>
      <c r="L83" s="11">
        <v>3</v>
      </c>
      <c r="M83" s="7">
        <f t="shared" si="12"/>
        <v>46674</v>
      </c>
      <c r="N83" s="13">
        <f t="shared" ca="1" si="13"/>
        <v>455</v>
      </c>
      <c r="O83" s="11" t="str">
        <f t="shared" ca="1" si="14"/>
        <v>VIGENTE</v>
      </c>
      <c r="P83" s="6" t="str">
        <f t="shared" si="15"/>
        <v>10413497341 SALON SPA STILOS MARY MARIA ELENA TAPIA BUSTAMANTE 41349734 0127-2024 ESTILISMO</v>
      </c>
      <c r="Q83" s="18"/>
    </row>
    <row r="84" spans="1:17" s="9" customFormat="1" ht="27.6" customHeight="1">
      <c r="A84" s="6" t="s">
        <v>350</v>
      </c>
      <c r="B84" s="6" t="s">
        <v>1326</v>
      </c>
      <c r="C84" s="11">
        <v>2024</v>
      </c>
      <c r="D84" s="6" t="s">
        <v>351</v>
      </c>
      <c r="E84" s="11">
        <v>20608675842</v>
      </c>
      <c r="F84" s="6" t="s">
        <v>352</v>
      </c>
      <c r="G84" s="6" t="s">
        <v>353</v>
      </c>
      <c r="H84" s="26">
        <v>46991280</v>
      </c>
      <c r="I84" s="26"/>
      <c r="J84" s="6" t="s">
        <v>466</v>
      </c>
      <c r="K84" s="7">
        <v>45580</v>
      </c>
      <c r="L84" s="11">
        <v>3</v>
      </c>
      <c r="M84" s="7">
        <f t="shared" si="12"/>
        <v>46674</v>
      </c>
      <c r="N84" s="13">
        <f t="shared" ca="1" si="13"/>
        <v>455</v>
      </c>
      <c r="O84" s="11" t="str">
        <f t="shared" ca="1" si="14"/>
        <v>VIGENTE</v>
      </c>
      <c r="P84" s="6" t="str">
        <f t="shared" si="15"/>
        <v>20608675842 FRI.TO RESTAURANTE MARIA DE LOS ANGELES HERNANDEZ SAAVEDRA 46991280 0128-2024 COCINA</v>
      </c>
      <c r="Q84" s="18"/>
    </row>
    <row r="85" spans="1:17" s="9" customFormat="1" ht="27.6" customHeight="1">
      <c r="A85" s="6" t="s">
        <v>354</v>
      </c>
      <c r="B85" s="6" t="s">
        <v>1327</v>
      </c>
      <c r="C85" s="11">
        <v>2024</v>
      </c>
      <c r="D85" s="6" t="s">
        <v>355</v>
      </c>
      <c r="E85" s="11">
        <v>10406241951</v>
      </c>
      <c r="F85" s="6" t="s">
        <v>356</v>
      </c>
      <c r="G85" s="6" t="s">
        <v>357</v>
      </c>
      <c r="H85" s="26">
        <v>40624195</v>
      </c>
      <c r="I85" s="26"/>
      <c r="J85" s="6" t="s">
        <v>487</v>
      </c>
      <c r="K85" s="7">
        <v>45580</v>
      </c>
      <c r="L85" s="11">
        <v>3</v>
      </c>
      <c r="M85" s="7">
        <f t="shared" si="12"/>
        <v>46674</v>
      </c>
      <c r="N85" s="13">
        <f t="shared" ca="1" si="13"/>
        <v>455</v>
      </c>
      <c r="O85" s="11" t="str">
        <f t="shared" ca="1" si="14"/>
        <v>VIGENTE</v>
      </c>
      <c r="P85" s="6" t="str">
        <f t="shared" si="15"/>
        <v>10406241951 MARIBEL SPA OLINDA MARIBEL OCON MONCADA 40624195 0129-2024 ESTILISMO</v>
      </c>
      <c r="Q85" s="18"/>
    </row>
    <row r="86" spans="1:17" s="9" customFormat="1" ht="27.6" customHeight="1">
      <c r="A86" s="6" t="s">
        <v>358</v>
      </c>
      <c r="B86" s="6" t="s">
        <v>1328</v>
      </c>
      <c r="C86" s="11">
        <v>2024</v>
      </c>
      <c r="D86" s="6" t="s">
        <v>359</v>
      </c>
      <c r="E86" s="11">
        <v>10448990597</v>
      </c>
      <c r="F86" s="6" t="s">
        <v>360</v>
      </c>
      <c r="G86" s="6" t="s">
        <v>361</v>
      </c>
      <c r="H86" s="26">
        <v>44899059</v>
      </c>
      <c r="I86" s="26"/>
      <c r="J86" s="6" t="s">
        <v>466</v>
      </c>
      <c r="K86" s="7">
        <v>45580</v>
      </c>
      <c r="L86" s="11">
        <v>3</v>
      </c>
      <c r="M86" s="7">
        <f t="shared" si="12"/>
        <v>46674</v>
      </c>
      <c r="N86" s="13">
        <f t="shared" ca="1" si="13"/>
        <v>455</v>
      </c>
      <c r="O86" s="11" t="str">
        <f t="shared" ca="1" si="14"/>
        <v>VIGENTE</v>
      </c>
      <c r="P86" s="6" t="str">
        <f t="shared" si="15"/>
        <v>10448990597 RESTAURANTE MULTADO ANTICUCHERO ROBERTO LAZARTE PONCE 44899059 0130-2024 COCINA</v>
      </c>
      <c r="Q86" s="18"/>
    </row>
    <row r="87" spans="1:17" s="9" customFormat="1" ht="27.6" customHeight="1">
      <c r="A87" s="6" t="s">
        <v>362</v>
      </c>
      <c r="B87" s="6" t="s">
        <v>1329</v>
      </c>
      <c r="C87" s="11">
        <v>2024</v>
      </c>
      <c r="D87" s="6" t="s">
        <v>363</v>
      </c>
      <c r="E87" s="11">
        <v>10733729797</v>
      </c>
      <c r="F87" s="6" t="s">
        <v>364</v>
      </c>
      <c r="G87" s="6" t="s">
        <v>365</v>
      </c>
      <c r="H87" s="26">
        <v>73372979</v>
      </c>
      <c r="I87" s="26"/>
      <c r="J87" s="6" t="s">
        <v>1247</v>
      </c>
      <c r="K87" s="7">
        <v>45580</v>
      </c>
      <c r="L87" s="11">
        <v>3</v>
      </c>
      <c r="M87" s="7">
        <f t="shared" si="12"/>
        <v>46674</v>
      </c>
      <c r="N87" s="13">
        <f t="shared" ca="1" si="13"/>
        <v>455</v>
      </c>
      <c r="O87" s="11" t="str">
        <f t="shared" ca="1" si="14"/>
        <v>VIGENTE</v>
      </c>
      <c r="P87" s="6" t="str">
        <f t="shared" si="15"/>
        <v>10733729797 BURGERS G&amp;M MATILDE LLOVERA SANCHEZ 73372979 0131-2024 PANIFICACIÓN INDUSTRIAL</v>
      </c>
      <c r="Q87" s="18"/>
    </row>
    <row r="88" spans="1:17" s="9" customFormat="1" ht="27.6" customHeight="1">
      <c r="A88" s="6" t="s">
        <v>366</v>
      </c>
      <c r="B88" s="6" t="s">
        <v>1330</v>
      </c>
      <c r="C88" s="11">
        <v>2024</v>
      </c>
      <c r="D88" s="6" t="s">
        <v>367</v>
      </c>
      <c r="E88" s="11" t="s">
        <v>368</v>
      </c>
      <c r="F88" s="6" t="s">
        <v>369</v>
      </c>
      <c r="G88" s="6" t="s">
        <v>370</v>
      </c>
      <c r="H88" s="26">
        <v>26644509</v>
      </c>
      <c r="I88" s="26"/>
      <c r="J88" s="6" t="s">
        <v>1245</v>
      </c>
      <c r="K88" s="7">
        <v>45587</v>
      </c>
      <c r="L88" s="11">
        <v>3</v>
      </c>
      <c r="M88" s="7">
        <f t="shared" si="12"/>
        <v>46681</v>
      </c>
      <c r="N88" s="13">
        <f t="shared" ca="1" si="13"/>
        <v>462</v>
      </c>
      <c r="O88" s="11" t="str">
        <f t="shared" ca="1" si="14"/>
        <v>VIGENTE</v>
      </c>
      <c r="P88" s="6" t="str">
        <f t="shared" si="15"/>
        <v>1627041-PRIMARIA-1621058-SEGUNDARIA I.E.HNO. VICTORINOELORZ GOICOCHEA PROF.EVER LINCOL ARRIBASPLATA SANCHEZ 26644509 0136-2024 COMPUTACIÓN E INFORMÁTICA</v>
      </c>
      <c r="Q88" s="18"/>
    </row>
    <row r="89" spans="1:17" s="9" customFormat="1" ht="27.6" customHeight="1">
      <c r="A89" s="6" t="s">
        <v>371</v>
      </c>
      <c r="B89" s="6" t="s">
        <v>1331</v>
      </c>
      <c r="C89" s="11">
        <v>2024</v>
      </c>
      <c r="D89" s="6" t="s">
        <v>372</v>
      </c>
      <c r="E89" s="11">
        <v>10258344508</v>
      </c>
      <c r="F89" s="6" t="s">
        <v>373</v>
      </c>
      <c r="G89" s="6" t="s">
        <v>374</v>
      </c>
      <c r="H89" s="26">
        <v>753118279</v>
      </c>
      <c r="I89" s="26"/>
      <c r="J89" s="6" t="s">
        <v>613</v>
      </c>
      <c r="K89" s="7">
        <v>45587</v>
      </c>
      <c r="L89" s="11">
        <v>3</v>
      </c>
      <c r="M89" s="7">
        <f t="shared" si="12"/>
        <v>46681</v>
      </c>
      <c r="N89" s="13">
        <f t="shared" ca="1" si="13"/>
        <v>462</v>
      </c>
      <c r="O89" s="11" t="str">
        <f t="shared" ca="1" si="14"/>
        <v>VIGENTE</v>
      </c>
      <c r="P89" s="6" t="str">
        <f t="shared" si="15"/>
        <v>10258344508 LA EMPRESA JEHOVA ES MI PASTOR SEGUNDO GUMERCINDO ALVARADO VILLANUEVA 753118279 0137-2024 SERVICIOS SOCIALES Y DE SALUD</v>
      </c>
      <c r="Q89" s="18"/>
    </row>
    <row r="90" spans="1:17" s="9" customFormat="1" ht="27.6" customHeight="1">
      <c r="A90" s="6" t="s">
        <v>375</v>
      </c>
      <c r="B90" s="6" t="s">
        <v>1332</v>
      </c>
      <c r="C90" s="11">
        <v>2024</v>
      </c>
      <c r="D90" s="6" t="s">
        <v>376</v>
      </c>
      <c r="E90" s="11">
        <v>10267241495</v>
      </c>
      <c r="F90" s="6" t="s">
        <v>377</v>
      </c>
      <c r="G90" s="6" t="s">
        <v>378</v>
      </c>
      <c r="H90" s="26">
        <v>26681841</v>
      </c>
      <c r="I90" s="26"/>
      <c r="J90" s="6" t="s">
        <v>1245</v>
      </c>
      <c r="K90" s="7">
        <v>45587</v>
      </c>
      <c r="L90" s="11">
        <v>3</v>
      </c>
      <c r="M90" s="7">
        <f t="shared" si="12"/>
        <v>46681</v>
      </c>
      <c r="N90" s="13">
        <f t="shared" ca="1" si="13"/>
        <v>462</v>
      </c>
      <c r="O90" s="11" t="str">
        <f t="shared" ca="1" si="14"/>
        <v>VIGENTE</v>
      </c>
      <c r="P90" s="6" t="str">
        <f t="shared" si="15"/>
        <v>10267241495 COPYCENTRO MONTOYA HUAMAN PATRICIA ERIKA 26681841 0138-2024 COMPUTACIÓN E INFORMÁTICA</v>
      </c>
      <c r="Q90" s="18"/>
    </row>
    <row r="91" spans="1:17" s="9" customFormat="1" ht="27.6" customHeight="1">
      <c r="A91" s="6" t="s">
        <v>379</v>
      </c>
      <c r="B91" s="6" t="s">
        <v>1333</v>
      </c>
      <c r="C91" s="11">
        <v>2024</v>
      </c>
      <c r="D91" s="6" t="s">
        <v>380</v>
      </c>
      <c r="E91" s="11">
        <v>20600175697</v>
      </c>
      <c r="F91" s="6" t="s">
        <v>381</v>
      </c>
      <c r="G91" s="6" t="s">
        <v>382</v>
      </c>
      <c r="H91" s="26">
        <v>72961533</v>
      </c>
      <c r="I91" s="26"/>
      <c r="J91" s="6" t="s">
        <v>613</v>
      </c>
      <c r="K91" s="7">
        <v>45587</v>
      </c>
      <c r="L91" s="11">
        <v>3</v>
      </c>
      <c r="M91" s="7">
        <f t="shared" si="12"/>
        <v>46681</v>
      </c>
      <c r="N91" s="13">
        <f t="shared" ca="1" si="13"/>
        <v>462</v>
      </c>
      <c r="O91" s="11" t="str">
        <f t="shared" ca="1" si="14"/>
        <v>VIGENTE</v>
      </c>
      <c r="P91" s="6" t="str">
        <f t="shared" si="15"/>
        <v>20600175697 MRN ODONTOLOGIA EIRL MARIELA DEL PILAR RODRIGUEZ NUREÑA 72961533 0140-2024 SERVICIOS SOCIALES Y DE SALUD</v>
      </c>
      <c r="Q91" s="18"/>
    </row>
    <row r="92" spans="1:17" s="9" customFormat="1" ht="27.6" customHeight="1">
      <c r="A92" s="6" t="s">
        <v>383</v>
      </c>
      <c r="B92" s="6" t="s">
        <v>1334</v>
      </c>
      <c r="C92" s="11">
        <v>2024</v>
      </c>
      <c r="D92" s="6" t="s">
        <v>384</v>
      </c>
      <c r="E92" s="11">
        <v>10266965899</v>
      </c>
      <c r="F92" s="6" t="s">
        <v>385</v>
      </c>
      <c r="G92" s="6" t="s">
        <v>386</v>
      </c>
      <c r="H92" s="26">
        <v>26696589</v>
      </c>
      <c r="I92" s="26"/>
      <c r="J92" s="6" t="s">
        <v>466</v>
      </c>
      <c r="K92" s="7">
        <v>45590</v>
      </c>
      <c r="L92" s="11">
        <v>3</v>
      </c>
      <c r="M92" s="7">
        <f t="shared" si="12"/>
        <v>46684</v>
      </c>
      <c r="N92" s="13">
        <f t="shared" ca="1" si="13"/>
        <v>465</v>
      </c>
      <c r="O92" s="11" t="str">
        <f t="shared" ca="1" si="14"/>
        <v>VIGENTE</v>
      </c>
      <c r="P92" s="6" t="str">
        <f t="shared" si="15"/>
        <v>10266965899 LA NORIA RECREO CAMPESTRE MARIA DE MAR MUJICA HUAMAN 26696589 0141-2024 COCINA</v>
      </c>
      <c r="Q92" s="18"/>
    </row>
    <row r="93" spans="1:17" s="9" customFormat="1" ht="27.6" customHeight="1">
      <c r="A93" s="6" t="s">
        <v>387</v>
      </c>
      <c r="B93" s="6" t="s">
        <v>1335</v>
      </c>
      <c r="C93" s="11">
        <v>2024</v>
      </c>
      <c r="D93" s="6" t="s">
        <v>388</v>
      </c>
      <c r="E93" s="11">
        <v>10736892435</v>
      </c>
      <c r="F93" s="6" t="s">
        <v>389</v>
      </c>
      <c r="G93" s="6" t="s">
        <v>390</v>
      </c>
      <c r="H93" s="26">
        <v>73689243</v>
      </c>
      <c r="I93" s="26"/>
      <c r="J93" s="6" t="s">
        <v>1245</v>
      </c>
      <c r="K93" s="7">
        <v>45593</v>
      </c>
      <c r="L93" s="11">
        <v>3</v>
      </c>
      <c r="M93" s="7">
        <f t="shared" si="12"/>
        <v>46687</v>
      </c>
      <c r="N93" s="13">
        <f t="shared" ca="1" si="13"/>
        <v>468</v>
      </c>
      <c r="O93" s="11" t="str">
        <f t="shared" ca="1" si="14"/>
        <v>VIGENTE</v>
      </c>
      <c r="P93" s="6" t="str">
        <f t="shared" si="15"/>
        <v>10736892435 DOMINO 20 BARBER STUDIO CABADA ALCAS ALESSANDRA 73689243 0142-2024 COMPUTACIÓN E INFORMÁTICA</v>
      </c>
      <c r="Q93" s="18"/>
    </row>
    <row r="94" spans="1:17" s="9" customFormat="1" ht="27.6" customHeight="1">
      <c r="A94" s="6" t="s">
        <v>391</v>
      </c>
      <c r="B94" s="6" t="s">
        <v>1336</v>
      </c>
      <c r="C94" s="11">
        <v>2024</v>
      </c>
      <c r="D94" s="6" t="s">
        <v>392</v>
      </c>
      <c r="E94" s="11">
        <v>20495745687</v>
      </c>
      <c r="F94" s="6" t="s">
        <v>393</v>
      </c>
      <c r="G94" s="6" t="s">
        <v>394</v>
      </c>
      <c r="H94" s="26">
        <v>26660922</v>
      </c>
      <c r="I94" s="26"/>
      <c r="J94" s="6" t="s">
        <v>1246</v>
      </c>
      <c r="K94" s="7">
        <v>45593</v>
      </c>
      <c r="L94" s="11">
        <v>3</v>
      </c>
      <c r="M94" s="7">
        <f t="shared" si="12"/>
        <v>46687</v>
      </c>
      <c r="N94" s="13">
        <f t="shared" ca="1" si="13"/>
        <v>468</v>
      </c>
      <c r="O94" s="11" t="str">
        <f t="shared" ca="1" si="14"/>
        <v>VIGENTE</v>
      </c>
      <c r="P94" s="6" t="str">
        <f t="shared" si="15"/>
        <v>20495745687 I.C CONTRATISTAS SRL INOCENTE CASTILLO HUAMAN 26660922 0143-2024 ELECTRICIDAD</v>
      </c>
      <c r="Q94" s="18"/>
    </row>
    <row r="95" spans="1:17" s="9" customFormat="1" ht="27.6" customHeight="1">
      <c r="A95" s="6" t="s">
        <v>395</v>
      </c>
      <c r="B95" s="6" t="s">
        <v>1337</v>
      </c>
      <c r="C95" s="11">
        <v>2024</v>
      </c>
      <c r="D95" s="6" t="s">
        <v>396</v>
      </c>
      <c r="E95" s="11">
        <v>20496091672</v>
      </c>
      <c r="F95" s="6" t="s">
        <v>397</v>
      </c>
      <c r="G95" s="6" t="s">
        <v>398</v>
      </c>
      <c r="H95" s="26">
        <v>42991137</v>
      </c>
      <c r="I95" s="26"/>
      <c r="J95" s="6" t="s">
        <v>1245</v>
      </c>
      <c r="K95" s="7">
        <v>45593</v>
      </c>
      <c r="L95" s="11">
        <v>3</v>
      </c>
      <c r="M95" s="7">
        <f t="shared" si="12"/>
        <v>46687</v>
      </c>
      <c r="N95" s="13">
        <f t="shared" ca="1" si="13"/>
        <v>468</v>
      </c>
      <c r="O95" s="11" t="str">
        <f t="shared" ca="1" si="14"/>
        <v>VIGENTE</v>
      </c>
      <c r="P95" s="6" t="str">
        <f t="shared" si="15"/>
        <v>20496091672 HOTEL SOL DE BELEN EIRL JOSE MANUEL ROJAS VILLAR 42991137 0144-2024 COMPUTACIÓN E INFORMÁTICA</v>
      </c>
      <c r="Q95" s="18"/>
    </row>
    <row r="96" spans="1:17" s="9" customFormat="1" ht="27.6" customHeight="1">
      <c r="A96" s="6" t="s">
        <v>399</v>
      </c>
      <c r="B96" s="6" t="s">
        <v>1338</v>
      </c>
      <c r="C96" s="11">
        <v>2024</v>
      </c>
      <c r="D96" s="6" t="s">
        <v>400</v>
      </c>
      <c r="E96" s="11">
        <v>10267029836</v>
      </c>
      <c r="F96" s="6" t="s">
        <v>401</v>
      </c>
      <c r="G96" s="6" t="s">
        <v>402</v>
      </c>
      <c r="H96" s="26">
        <v>26702983</v>
      </c>
      <c r="I96" s="26"/>
      <c r="J96" s="6" t="s">
        <v>487</v>
      </c>
      <c r="K96" s="7">
        <v>45593</v>
      </c>
      <c r="L96" s="11">
        <v>3</v>
      </c>
      <c r="M96" s="7">
        <f t="shared" si="12"/>
        <v>46687</v>
      </c>
      <c r="N96" s="13">
        <f t="shared" ca="1" si="13"/>
        <v>468</v>
      </c>
      <c r="O96" s="11" t="str">
        <f t="shared" ca="1" si="14"/>
        <v>VIGENTE</v>
      </c>
      <c r="P96" s="6" t="str">
        <f t="shared" si="15"/>
        <v>10267029836 VIOLETA DIAS SALON &amp;SPA MARIA VIOLETA DIAS CABRERA 26702983 0145-2024 ESTILISMO</v>
      </c>
      <c r="Q96" s="18"/>
    </row>
    <row r="97" spans="1:17" s="9" customFormat="1" ht="27.6" customHeight="1">
      <c r="A97" s="6" t="s">
        <v>403</v>
      </c>
      <c r="B97" s="6" t="s">
        <v>1339</v>
      </c>
      <c r="C97" s="11">
        <v>2024</v>
      </c>
      <c r="D97" s="6" t="s">
        <v>404</v>
      </c>
      <c r="E97" s="11">
        <v>10401746779</v>
      </c>
      <c r="F97" s="6" t="s">
        <v>405</v>
      </c>
      <c r="G97" s="6" t="s">
        <v>406</v>
      </c>
      <c r="H97" s="26">
        <v>40174677</v>
      </c>
      <c r="I97" s="26"/>
      <c r="J97" s="6" t="s">
        <v>487</v>
      </c>
      <c r="K97" s="7">
        <v>45593</v>
      </c>
      <c r="L97" s="11">
        <v>3</v>
      </c>
      <c r="M97" s="7">
        <f t="shared" si="12"/>
        <v>46687</v>
      </c>
      <c r="N97" s="13">
        <f t="shared" ca="1" si="13"/>
        <v>468</v>
      </c>
      <c r="O97" s="11" t="str">
        <f t="shared" ca="1" si="14"/>
        <v>VIGENTE</v>
      </c>
      <c r="P97" s="6" t="str">
        <f t="shared" si="15"/>
        <v>10401746779 CENTRO DE ESTETICA ROSSY ROSELA RAMOS ALTAMIRANO 40174677 0146-2024 ESTILISMO</v>
      </c>
      <c r="Q97" s="18"/>
    </row>
    <row r="98" spans="1:17" s="9" customFormat="1" ht="27.6" customHeight="1">
      <c r="A98" s="6" t="s">
        <v>407</v>
      </c>
      <c r="B98" s="6" t="s">
        <v>1340</v>
      </c>
      <c r="C98" s="11">
        <v>2024</v>
      </c>
      <c r="D98" s="6" t="s">
        <v>408</v>
      </c>
      <c r="E98" s="11">
        <v>10476362551</v>
      </c>
      <c r="F98" s="6" t="s">
        <v>409</v>
      </c>
      <c r="G98" s="6" t="s">
        <v>410</v>
      </c>
      <c r="H98" s="26">
        <v>47636255</v>
      </c>
      <c r="I98" s="26"/>
      <c r="J98" s="6" t="s">
        <v>487</v>
      </c>
      <c r="K98" s="7">
        <v>45593</v>
      </c>
      <c r="L98" s="11">
        <v>3</v>
      </c>
      <c r="M98" s="7">
        <f t="shared" si="12"/>
        <v>46687</v>
      </c>
      <c r="N98" s="13">
        <f t="shared" ca="1" si="13"/>
        <v>468</v>
      </c>
      <c r="O98" s="11" t="str">
        <f t="shared" ca="1" si="14"/>
        <v>VIGENTE</v>
      </c>
      <c r="P98" s="6" t="str">
        <f t="shared" si="15"/>
        <v>10476362551 SALON M&amp;A MARLENY VARGAS CHALAN 47636255 0147-2024 ESTILISMO</v>
      </c>
      <c r="Q98" s="18"/>
    </row>
    <row r="99" spans="1:17" s="9" customFormat="1" ht="27.6" customHeight="1">
      <c r="A99" s="6" t="s">
        <v>411</v>
      </c>
      <c r="B99" s="6" t="s">
        <v>1341</v>
      </c>
      <c r="C99" s="11">
        <v>2024</v>
      </c>
      <c r="D99" s="6" t="s">
        <v>412</v>
      </c>
      <c r="E99" s="11">
        <v>10487278586</v>
      </c>
      <c r="F99" s="6" t="s">
        <v>413</v>
      </c>
      <c r="G99" s="6" t="s">
        <v>414</v>
      </c>
      <c r="H99" s="26">
        <v>48727858</v>
      </c>
      <c r="I99" s="26"/>
      <c r="J99" s="6" t="s">
        <v>1244</v>
      </c>
      <c r="K99" s="7">
        <v>45593</v>
      </c>
      <c r="L99" s="11">
        <v>3</v>
      </c>
      <c r="M99" s="7">
        <f t="shared" si="12"/>
        <v>46687</v>
      </c>
      <c r="N99" s="13">
        <f t="shared" ca="1" si="13"/>
        <v>468</v>
      </c>
      <c r="O99" s="11" t="str">
        <f t="shared" ca="1" si="14"/>
        <v>VIGENTE</v>
      </c>
      <c r="P99" s="6" t="str">
        <f t="shared" si="15"/>
        <v>10487278586 DIALU MEJIA YANETH DIALU MEJIA GALVEZ 48727858 0148-2024 ADMINISTRACIÓN Y COMERCIO</v>
      </c>
      <c r="Q99" s="18"/>
    </row>
    <row r="100" spans="1:17" s="9" customFormat="1" ht="27.6" customHeight="1">
      <c r="A100" s="6" t="s">
        <v>415</v>
      </c>
      <c r="B100" s="6" t="s">
        <v>1342</v>
      </c>
      <c r="C100" s="11">
        <v>2024</v>
      </c>
      <c r="D100" s="6" t="s">
        <v>416</v>
      </c>
      <c r="E100" s="11">
        <v>10464108004</v>
      </c>
      <c r="F100" s="6" t="s">
        <v>417</v>
      </c>
      <c r="G100" s="6" t="s">
        <v>418</v>
      </c>
      <c r="H100" s="26">
        <v>46410800</v>
      </c>
      <c r="I100" s="26"/>
      <c r="J100" s="6" t="s">
        <v>487</v>
      </c>
      <c r="K100" s="7">
        <v>45595</v>
      </c>
      <c r="L100" s="11">
        <v>3</v>
      </c>
      <c r="M100" s="7">
        <f t="shared" si="12"/>
        <v>46689</v>
      </c>
      <c r="N100" s="13">
        <f t="shared" ca="1" si="13"/>
        <v>470</v>
      </c>
      <c r="O100" s="11" t="str">
        <f t="shared" ca="1" si="14"/>
        <v>VIGENTE</v>
      </c>
      <c r="P100" s="6" t="str">
        <f t="shared" si="15"/>
        <v>10464108004 SALON DE BELLEZA KAREN KAREN PAOLA TORIBIO CUEVA 46410800 0150-2024 ESTILISMO</v>
      </c>
      <c r="Q100" s="18"/>
    </row>
    <row r="101" spans="1:17" s="9" customFormat="1" ht="27.6" customHeight="1">
      <c r="A101" s="6" t="s">
        <v>419</v>
      </c>
      <c r="B101" s="6" t="s">
        <v>1343</v>
      </c>
      <c r="C101" s="11">
        <v>2024</v>
      </c>
      <c r="D101" s="6" t="s">
        <v>420</v>
      </c>
      <c r="E101" s="11">
        <v>20491742683</v>
      </c>
      <c r="F101" s="6" t="s">
        <v>421</v>
      </c>
      <c r="G101" s="6" t="s">
        <v>422</v>
      </c>
      <c r="H101" s="26">
        <v>26615094</v>
      </c>
      <c r="I101" s="26"/>
      <c r="J101" s="6" t="s">
        <v>1245</v>
      </c>
      <c r="K101" s="7">
        <v>45595</v>
      </c>
      <c r="L101" s="11">
        <v>3</v>
      </c>
      <c r="M101" s="7">
        <f t="shared" si="12"/>
        <v>46689</v>
      </c>
      <c r="N101" s="13">
        <f t="shared" ca="1" si="13"/>
        <v>470</v>
      </c>
      <c r="O101" s="11" t="str">
        <f t="shared" ca="1" si="14"/>
        <v>VIGENTE</v>
      </c>
      <c r="P101" s="6" t="str">
        <f t="shared" si="15"/>
        <v>20491742683 DIVA TRASN EXPRESS E.I.R.L PEDRO VALDEZ CALUA 26615094 0151-2024 COMPUTACIÓN E INFORMÁTICA</v>
      </c>
      <c r="Q101" s="18"/>
    </row>
    <row r="102" spans="1:17" s="9" customFormat="1" ht="27.6" customHeight="1">
      <c r="A102" s="6" t="s">
        <v>423</v>
      </c>
      <c r="B102" s="6" t="s">
        <v>1344</v>
      </c>
      <c r="C102" s="11">
        <v>2024</v>
      </c>
      <c r="D102" s="6" t="s">
        <v>424</v>
      </c>
      <c r="E102" s="11">
        <v>20496171358</v>
      </c>
      <c r="F102" s="6" t="s">
        <v>425</v>
      </c>
      <c r="G102" s="6" t="s">
        <v>426</v>
      </c>
      <c r="H102" s="26">
        <v>72836994</v>
      </c>
      <c r="I102" s="26"/>
      <c r="J102" s="6" t="s">
        <v>1244</v>
      </c>
      <c r="K102" s="7">
        <v>45595</v>
      </c>
      <c r="L102" s="11">
        <v>3</v>
      </c>
      <c r="M102" s="7">
        <f t="shared" ref="M102:M133" si="16">IF(OR(K102="",L102=""),"",DATE(YEAR(K102)+L102,MONTH(K102),DAY(K102))-1)</f>
        <v>46689</v>
      </c>
      <c r="N102" s="13">
        <f t="shared" ref="N102:N133" ca="1" si="17">IF(M102="","",M102-TODAY())</f>
        <v>470</v>
      </c>
      <c r="O102" s="11" t="str">
        <f t="shared" ref="O102:O133" ca="1" si="18">IF(M102="","SIN FECHA",IF(M102&lt;TODAY(),"VENCIDO",IF(M102-TODAY()&lt;=30,"POR VENCER","VIGENTE")))</f>
        <v>VIGENTE</v>
      </c>
      <c r="P102" s="6" t="str">
        <f t="shared" ref="P102:P133" si="19">UPPER(TRIM(E102&amp;" "&amp;D102&amp;" "&amp;G102&amp;" "&amp;H102&amp;" "&amp;I102&amp;" "&amp;B102&amp;" "&amp;J102))</f>
        <v>20496171358 CORPORACIÓN F&amp;K SAC VILLANUEVA VASQUEZ FIORELA LIZBETH 72836994 0152-2024 ADMINISTRACIÓN Y COMERCIO</v>
      </c>
      <c r="Q102" s="18"/>
    </row>
    <row r="103" spans="1:17" s="9" customFormat="1" ht="27.6" customHeight="1">
      <c r="A103" s="6" t="s">
        <v>427</v>
      </c>
      <c r="B103" s="6" t="s">
        <v>1345</v>
      </c>
      <c r="C103" s="11">
        <v>2024</v>
      </c>
      <c r="D103" s="6" t="s">
        <v>428</v>
      </c>
      <c r="E103" s="11">
        <v>20529327421</v>
      </c>
      <c r="F103" s="6" t="s">
        <v>429</v>
      </c>
      <c r="G103" s="6" t="s">
        <v>430</v>
      </c>
      <c r="H103" s="26">
        <v>26680440</v>
      </c>
      <c r="I103" s="26"/>
      <c r="J103" s="6" t="s">
        <v>1246</v>
      </c>
      <c r="K103" s="7">
        <v>45595</v>
      </c>
      <c r="L103" s="11">
        <v>3</v>
      </c>
      <c r="M103" s="7">
        <f t="shared" si="16"/>
        <v>46689</v>
      </c>
      <c r="N103" s="13">
        <f t="shared" ca="1" si="17"/>
        <v>470</v>
      </c>
      <c r="O103" s="11" t="str">
        <f t="shared" ca="1" si="18"/>
        <v>VIGENTE</v>
      </c>
      <c r="P103" s="6" t="str">
        <f t="shared" si="19"/>
        <v>20529327421 CORPORACION SAJ &amp; CUM INGENIERIA SOCIEDAD COMERCIAL DE RESPONSABILIDAD LIMITADA SANDOVAL MANTILLA JOSE VALENTIN 26680440 0153-2024 ELECTRICIDAD</v>
      </c>
      <c r="Q103" s="18"/>
    </row>
    <row r="104" spans="1:17" s="9" customFormat="1" ht="27.6" customHeight="1">
      <c r="A104" s="6" t="s">
        <v>431</v>
      </c>
      <c r="B104" s="6" t="s">
        <v>1346</v>
      </c>
      <c r="C104" s="11">
        <v>2024</v>
      </c>
      <c r="D104" s="6" t="s">
        <v>432</v>
      </c>
      <c r="E104" s="11">
        <v>20608424751</v>
      </c>
      <c r="F104" s="6" t="s">
        <v>433</v>
      </c>
      <c r="G104" s="6" t="s">
        <v>434</v>
      </c>
      <c r="H104" s="26">
        <v>18165515</v>
      </c>
      <c r="I104" s="26"/>
      <c r="J104" s="6" t="s">
        <v>466</v>
      </c>
      <c r="K104" s="7">
        <v>45595</v>
      </c>
      <c r="L104" s="11">
        <v>3</v>
      </c>
      <c r="M104" s="7">
        <f t="shared" si="16"/>
        <v>46689</v>
      </c>
      <c r="N104" s="13">
        <f t="shared" ca="1" si="17"/>
        <v>470</v>
      </c>
      <c r="O104" s="11" t="str">
        <f t="shared" ca="1" si="18"/>
        <v>VIGENTE</v>
      </c>
      <c r="P104" s="6" t="str">
        <f t="shared" si="19"/>
        <v>20608424751 POSEIDON CAMPESTRE SOCIEDAD ANONIMA CERRADA EDWARD LUJAN ZAVALETA 18165515 0155-2024 COCINA</v>
      </c>
      <c r="Q104" s="18"/>
    </row>
    <row r="105" spans="1:17" s="9" customFormat="1" ht="27.6" customHeight="1">
      <c r="A105" s="6" t="s">
        <v>435</v>
      </c>
      <c r="B105" s="6" t="s">
        <v>1347</v>
      </c>
      <c r="C105" s="11">
        <v>2024</v>
      </c>
      <c r="D105" s="6" t="s">
        <v>436</v>
      </c>
      <c r="E105" s="11">
        <v>20601333695</v>
      </c>
      <c r="F105" s="6" t="s">
        <v>437</v>
      </c>
      <c r="G105" s="6" t="s">
        <v>438</v>
      </c>
      <c r="H105" s="26">
        <v>29666633</v>
      </c>
      <c r="I105" s="26"/>
      <c r="J105" s="6" t="s">
        <v>1245</v>
      </c>
      <c r="K105" s="7">
        <v>45602</v>
      </c>
      <c r="L105" s="11">
        <v>3</v>
      </c>
      <c r="M105" s="7">
        <f t="shared" si="16"/>
        <v>46696</v>
      </c>
      <c r="N105" s="13">
        <f t="shared" ca="1" si="17"/>
        <v>477</v>
      </c>
      <c r="O105" s="11" t="str">
        <f t="shared" ca="1" si="18"/>
        <v>VIGENTE</v>
      </c>
      <c r="P105" s="6" t="str">
        <f t="shared" si="19"/>
        <v>20601333695 LA I.E.P YACHAYWASI NEREYDA JUDITH DIAZ ROJAS 29666633 0156-2024 COMPUTACIÓN E INFORMÁTICA</v>
      </c>
      <c r="Q105" s="18"/>
    </row>
    <row r="106" spans="1:17" s="9" customFormat="1" ht="27.6" customHeight="1">
      <c r="A106" s="6" t="s">
        <v>439</v>
      </c>
      <c r="B106" s="6" t="s">
        <v>1349</v>
      </c>
      <c r="C106" s="11">
        <v>2024</v>
      </c>
      <c r="D106" s="6" t="s">
        <v>440</v>
      </c>
      <c r="E106" s="11">
        <v>20604106568</v>
      </c>
      <c r="F106" s="6" t="s">
        <v>441</v>
      </c>
      <c r="G106" s="6" t="s">
        <v>442</v>
      </c>
      <c r="H106" s="26">
        <v>18212318</v>
      </c>
      <c r="I106" s="26"/>
      <c r="J106" s="6" t="s">
        <v>1244</v>
      </c>
      <c r="K106" s="7">
        <v>45602</v>
      </c>
      <c r="L106" s="11">
        <v>3</v>
      </c>
      <c r="M106" s="7">
        <f t="shared" si="16"/>
        <v>46696</v>
      </c>
      <c r="N106" s="13">
        <f t="shared" ca="1" si="17"/>
        <v>477</v>
      </c>
      <c r="O106" s="11" t="str">
        <f t="shared" ca="1" si="18"/>
        <v>VIGENTE</v>
      </c>
      <c r="P106" s="6" t="str">
        <f t="shared" si="19"/>
        <v>20604106568 LA EMPRESA AJAW SERVICIOS EIRL LUIS ENRIQUE VASQUEZ RODRIGUEZ 18212318 0157-2024 ADMINISTRACIÓN Y COMERCIO</v>
      </c>
      <c r="Q106" s="18"/>
    </row>
    <row r="107" spans="1:17" s="9" customFormat="1" ht="27.6" customHeight="1">
      <c r="A107" s="6" t="s">
        <v>443</v>
      </c>
      <c r="B107" s="6" t="s">
        <v>1348</v>
      </c>
      <c r="C107" s="11">
        <v>2024</v>
      </c>
      <c r="D107" s="6" t="s">
        <v>319</v>
      </c>
      <c r="E107" s="11">
        <v>20148258601</v>
      </c>
      <c r="F107" s="6" t="s">
        <v>444</v>
      </c>
      <c r="G107" s="6" t="s">
        <v>445</v>
      </c>
      <c r="H107" s="26">
        <v>26714181</v>
      </c>
      <c r="I107" s="26"/>
      <c r="J107" s="6" t="s">
        <v>613</v>
      </c>
      <c r="K107" s="7">
        <v>45602</v>
      </c>
      <c r="L107" s="11">
        <v>3</v>
      </c>
      <c r="M107" s="7">
        <f t="shared" si="16"/>
        <v>46696</v>
      </c>
      <c r="N107" s="13">
        <f t="shared" ca="1" si="17"/>
        <v>477</v>
      </c>
      <c r="O107" s="11" t="str">
        <f t="shared" ca="1" si="18"/>
        <v>VIGENTE</v>
      </c>
      <c r="P107" s="6" t="str">
        <f t="shared" si="19"/>
        <v>20148258601 LA UNIVERCIDAD NACIONAL DE CAJAMARCA MANUEL SALOMON RONCAL ORDOÑEZ 26714181 0158-2024 SERVICIOS SOCIALES Y DE SALUD</v>
      </c>
      <c r="Q107" s="18"/>
    </row>
    <row r="108" spans="1:17" s="9" customFormat="1" ht="27.6" customHeight="1">
      <c r="A108" s="6" t="s">
        <v>446</v>
      </c>
      <c r="B108" s="6" t="s">
        <v>1350</v>
      </c>
      <c r="C108" s="11">
        <v>2024</v>
      </c>
      <c r="D108" s="6" t="s">
        <v>447</v>
      </c>
      <c r="E108" s="11">
        <v>20611230932</v>
      </c>
      <c r="F108" s="6" t="s">
        <v>448</v>
      </c>
      <c r="G108" s="6" t="s">
        <v>449</v>
      </c>
      <c r="H108" s="26">
        <v>46153564</v>
      </c>
      <c r="I108" s="26"/>
      <c r="J108" s="6" t="s">
        <v>1247</v>
      </c>
      <c r="K108" s="7">
        <v>45603</v>
      </c>
      <c r="L108" s="11">
        <v>3</v>
      </c>
      <c r="M108" s="7">
        <f t="shared" si="16"/>
        <v>46697</v>
      </c>
      <c r="N108" s="13">
        <f t="shared" ca="1" si="17"/>
        <v>478</v>
      </c>
      <c r="O108" s="11" t="str">
        <f t="shared" ca="1" si="18"/>
        <v>VIGENTE</v>
      </c>
      <c r="P108" s="6" t="str">
        <f t="shared" si="19"/>
        <v>20611230932 LA EMPRESA KAPHIY PERU S.R.L ALEXIS JOSE DEXTRE BARRANTES 46153564 0159-2024 PANIFICACIÓN INDUSTRIAL</v>
      </c>
      <c r="Q108" s="18"/>
    </row>
    <row r="109" spans="1:17" s="20" customFormat="1" ht="27.6" customHeight="1">
      <c r="A109" s="6" t="s">
        <v>450</v>
      </c>
      <c r="B109" s="6" t="s">
        <v>1351</v>
      </c>
      <c r="C109" s="11">
        <v>2024</v>
      </c>
      <c r="D109" s="6" t="s">
        <v>451</v>
      </c>
      <c r="E109" s="11">
        <v>10102055328</v>
      </c>
      <c r="F109" s="6" t="s">
        <v>452</v>
      </c>
      <c r="G109" s="6" t="s">
        <v>453</v>
      </c>
      <c r="H109" s="26">
        <v>10205532</v>
      </c>
      <c r="I109" s="26"/>
      <c r="J109" s="6" t="s">
        <v>487</v>
      </c>
      <c r="K109" s="7">
        <v>45615</v>
      </c>
      <c r="L109" s="11">
        <v>3</v>
      </c>
      <c r="M109" s="7">
        <f t="shared" si="16"/>
        <v>46709</v>
      </c>
      <c r="N109" s="13">
        <f t="shared" ca="1" si="17"/>
        <v>490</v>
      </c>
      <c r="O109" s="11" t="str">
        <f t="shared" ca="1" si="18"/>
        <v>VIGENTE</v>
      </c>
      <c r="P109" s="6" t="str">
        <f t="shared" si="19"/>
        <v>10102055328 ATREVETE MERSACH SALON &amp; SPA MERCEDES SANCHEZ CHAVEZ 10205532 0160-2024 ESTILISMO</v>
      </c>
      <c r="Q109" s="19"/>
    </row>
    <row r="110" spans="1:17" s="9" customFormat="1" ht="27.6" customHeight="1">
      <c r="A110" s="6" t="s">
        <v>454</v>
      </c>
      <c r="B110" s="6" t="s">
        <v>1352</v>
      </c>
      <c r="C110" s="11">
        <v>2025</v>
      </c>
      <c r="D110" s="6" t="s">
        <v>455</v>
      </c>
      <c r="E110" s="11">
        <v>2060474767165</v>
      </c>
      <c r="F110" s="6" t="s">
        <v>456</v>
      </c>
      <c r="G110" s="6" t="s">
        <v>457</v>
      </c>
      <c r="H110" s="26">
        <v>48069450</v>
      </c>
      <c r="I110" s="26"/>
      <c r="J110" s="6" t="s">
        <v>1248</v>
      </c>
      <c r="K110" s="7">
        <v>45744</v>
      </c>
      <c r="L110" s="11">
        <v>3</v>
      </c>
      <c r="M110" s="7">
        <f t="shared" si="16"/>
        <v>46839</v>
      </c>
      <c r="N110" s="13">
        <f t="shared" ca="1" si="17"/>
        <v>620</v>
      </c>
      <c r="O110" s="11" t="str">
        <f t="shared" ca="1" si="18"/>
        <v>VIGENTE</v>
      </c>
      <c r="P110" s="6" t="str">
        <f t="shared" si="19"/>
        <v>2060474767165 SUPPLIER G.C. E.I.R.L GUSTAVO CARRASCO VICTORIAL 48069450 0001-2025 TEXTIL Y CONFECCIÓN</v>
      </c>
      <c r="Q110" s="18"/>
    </row>
    <row r="111" spans="1:17" s="9" customFormat="1" ht="27.6" customHeight="1">
      <c r="A111" s="6" t="s">
        <v>458</v>
      </c>
      <c r="B111" s="6" t="s">
        <v>1353</v>
      </c>
      <c r="C111" s="11">
        <v>2025</v>
      </c>
      <c r="D111" s="6" t="s">
        <v>459</v>
      </c>
      <c r="E111" s="11">
        <v>10472245721</v>
      </c>
      <c r="F111" s="6" t="s">
        <v>460</v>
      </c>
      <c r="G111" s="6" t="s">
        <v>461</v>
      </c>
      <c r="H111" s="26">
        <v>47224572</v>
      </c>
      <c r="I111" s="26"/>
      <c r="J111" s="6" t="s">
        <v>487</v>
      </c>
      <c r="K111" s="7">
        <v>45744</v>
      </c>
      <c r="L111" s="11">
        <v>3</v>
      </c>
      <c r="M111" s="7">
        <f t="shared" si="16"/>
        <v>46839</v>
      </c>
      <c r="N111" s="13">
        <f t="shared" ca="1" si="17"/>
        <v>620</v>
      </c>
      <c r="O111" s="11" t="str">
        <f t="shared" ca="1" si="18"/>
        <v>VIGENTE</v>
      </c>
      <c r="P111" s="6" t="str">
        <f t="shared" si="19"/>
        <v>10472245721 VANIDOSAS SALÓN DE BELLEZA VANIA CARLOTA ARROYO CARDOSA 47224572 0002-2025 ESTILISMO</v>
      </c>
      <c r="Q111" s="18"/>
    </row>
    <row r="112" spans="1:17" s="9" customFormat="1" ht="27.6" customHeight="1">
      <c r="A112" s="6" t="s">
        <v>462</v>
      </c>
      <c r="B112" s="6" t="s">
        <v>1354</v>
      </c>
      <c r="C112" s="11">
        <v>2025</v>
      </c>
      <c r="D112" s="6" t="s">
        <v>463</v>
      </c>
      <c r="E112" s="11">
        <v>10710311191</v>
      </c>
      <c r="F112" s="6" t="s">
        <v>464</v>
      </c>
      <c r="G112" s="6" t="s">
        <v>465</v>
      </c>
      <c r="H112" s="26">
        <v>71031119</v>
      </c>
      <c r="I112" s="26"/>
      <c r="J112" s="6" t="s">
        <v>466</v>
      </c>
      <c r="K112" s="7">
        <v>45750</v>
      </c>
      <c r="L112" s="11">
        <v>3</v>
      </c>
      <c r="M112" s="7">
        <f t="shared" si="16"/>
        <v>46845</v>
      </c>
      <c r="N112" s="13">
        <f t="shared" ca="1" si="17"/>
        <v>626</v>
      </c>
      <c r="O112" s="11" t="str">
        <f t="shared" ca="1" si="18"/>
        <v>VIGENTE</v>
      </c>
      <c r="P112" s="6" t="str">
        <f t="shared" si="19"/>
        <v>10710311191 FOGÓN DORADO 2 OSMAR WAGNER DIAZ PAREDES 71031119 0003-2025 COCINA</v>
      </c>
      <c r="Q112" s="18"/>
    </row>
    <row r="113" spans="1:17" s="9" customFormat="1" ht="27.6" customHeight="1">
      <c r="A113" s="6" t="s">
        <v>467</v>
      </c>
      <c r="B113" s="6" t="s">
        <v>1355</v>
      </c>
      <c r="C113" s="11">
        <v>2025</v>
      </c>
      <c r="D113" s="6" t="s">
        <v>468</v>
      </c>
      <c r="E113" s="11">
        <v>20496009259</v>
      </c>
      <c r="F113" s="6" t="s">
        <v>469</v>
      </c>
      <c r="G113" s="6" t="s">
        <v>470</v>
      </c>
      <c r="H113" s="26">
        <v>10114257</v>
      </c>
      <c r="I113" s="26"/>
      <c r="J113" s="6" t="s">
        <v>466</v>
      </c>
      <c r="K113" s="7">
        <v>45750</v>
      </c>
      <c r="L113" s="11">
        <v>3</v>
      </c>
      <c r="M113" s="7">
        <f t="shared" si="16"/>
        <v>46845</v>
      </c>
      <c r="N113" s="13">
        <f t="shared" ca="1" si="17"/>
        <v>626</v>
      </c>
      <c r="O113" s="11" t="str">
        <f t="shared" ca="1" si="18"/>
        <v>VIGENTE</v>
      </c>
      <c r="P113" s="6" t="str">
        <f t="shared" si="19"/>
        <v>20496009259 NUEVO FOGÓN DORADO EUSEBIO DIAZ LOPEZ 10114257 0005-2025 COCINA</v>
      </c>
      <c r="Q113" s="18"/>
    </row>
    <row r="114" spans="1:17" s="9" customFormat="1" ht="27.6" customHeight="1">
      <c r="A114" s="6" t="s">
        <v>471</v>
      </c>
      <c r="B114" s="6" t="s">
        <v>1356</v>
      </c>
      <c r="C114" s="11">
        <v>2025</v>
      </c>
      <c r="D114" s="6" t="s">
        <v>472</v>
      </c>
      <c r="E114" s="11">
        <v>10407420182</v>
      </c>
      <c r="F114" s="6" t="s">
        <v>473</v>
      </c>
      <c r="G114" s="6" t="s">
        <v>474</v>
      </c>
      <c r="H114" s="26">
        <v>40742018</v>
      </c>
      <c r="I114" s="26"/>
      <c r="J114" s="6" t="s">
        <v>466</v>
      </c>
      <c r="K114" s="7">
        <v>45750</v>
      </c>
      <c r="L114" s="11">
        <v>3</v>
      </c>
      <c r="M114" s="7">
        <f t="shared" si="16"/>
        <v>46845</v>
      </c>
      <c r="N114" s="13">
        <f t="shared" ca="1" si="17"/>
        <v>626</v>
      </c>
      <c r="O114" s="11" t="str">
        <f t="shared" ca="1" si="18"/>
        <v>VIGENTE</v>
      </c>
      <c r="P114" s="6" t="str">
        <f t="shared" si="19"/>
        <v>10407420182 FOGÓN DORADO 1 BELISSA VALERIA PAREDES QUIJANDRIA 40742018 0006-2025 COCINA</v>
      </c>
      <c r="Q114" s="18"/>
    </row>
    <row r="115" spans="1:17" s="9" customFormat="1" ht="27.6" customHeight="1">
      <c r="A115" s="6" t="s">
        <v>475</v>
      </c>
      <c r="B115" s="6" t="s">
        <v>1386</v>
      </c>
      <c r="C115" s="11">
        <v>2025</v>
      </c>
      <c r="D115" s="6" t="s">
        <v>476</v>
      </c>
      <c r="E115" s="11">
        <v>10266251039</v>
      </c>
      <c r="F115" s="6" t="s">
        <v>477</v>
      </c>
      <c r="G115" s="6" t="s">
        <v>478</v>
      </c>
      <c r="H115" s="26">
        <v>26625103</v>
      </c>
      <c r="I115" s="26"/>
      <c r="J115" s="6" t="s">
        <v>1247</v>
      </c>
      <c r="K115" s="7">
        <v>45784</v>
      </c>
      <c r="L115" s="11">
        <v>3</v>
      </c>
      <c r="M115" s="7">
        <f t="shared" si="16"/>
        <v>46879</v>
      </c>
      <c r="N115" s="13">
        <f t="shared" ca="1" si="17"/>
        <v>660</v>
      </c>
      <c r="O115" s="11" t="str">
        <f t="shared" ca="1" si="18"/>
        <v>VIGENTE</v>
      </c>
      <c r="P115" s="6" t="str">
        <f t="shared" si="19"/>
        <v>10266251039 PANADERIA MENDOZA ROSA EDITA MENDOZA PRADO 26625103 0007-2025 PANIFICACIÓN INDUSTRIAL</v>
      </c>
      <c r="Q115" s="18"/>
    </row>
    <row r="116" spans="1:17" s="9" customFormat="1" ht="27.6" customHeight="1">
      <c r="A116" s="6" t="s">
        <v>479</v>
      </c>
      <c r="B116" s="6" t="s">
        <v>1357</v>
      </c>
      <c r="C116" s="11">
        <v>2025</v>
      </c>
      <c r="D116" s="6" t="s">
        <v>480</v>
      </c>
      <c r="E116" s="11">
        <v>10329681578</v>
      </c>
      <c r="F116" s="6" t="s">
        <v>481</v>
      </c>
      <c r="G116" s="6" t="s">
        <v>482</v>
      </c>
      <c r="H116" s="26">
        <v>32968157</v>
      </c>
      <c r="I116" s="26"/>
      <c r="J116" s="6" t="s">
        <v>1244</v>
      </c>
      <c r="K116" s="7">
        <v>45754</v>
      </c>
      <c r="L116" s="11">
        <v>3</v>
      </c>
      <c r="M116" s="7">
        <f t="shared" si="16"/>
        <v>46849</v>
      </c>
      <c r="N116" s="13">
        <f t="shared" ca="1" si="17"/>
        <v>630</v>
      </c>
      <c r="O116" s="11" t="str">
        <f t="shared" ca="1" si="18"/>
        <v>VIGENTE</v>
      </c>
      <c r="P116" s="6" t="str">
        <f t="shared" si="19"/>
        <v>10329681578 GIMNASIO STEFANOS GYM NILTON RAÚL GUZMAN ROMERO 32968157 0008-2025 ADMINISTRACIÓN Y COMERCIO</v>
      </c>
      <c r="Q116" s="18"/>
    </row>
    <row r="117" spans="1:17" s="9" customFormat="1" ht="27.6" customHeight="1">
      <c r="A117" s="6" t="s">
        <v>483</v>
      </c>
      <c r="B117" s="6" t="s">
        <v>1358</v>
      </c>
      <c r="C117" s="11">
        <v>2025</v>
      </c>
      <c r="D117" s="6" t="s">
        <v>484</v>
      </c>
      <c r="E117" s="11">
        <v>10474790920</v>
      </c>
      <c r="F117" s="6" t="s">
        <v>485</v>
      </c>
      <c r="G117" s="6" t="s">
        <v>486</v>
      </c>
      <c r="H117" s="26">
        <v>47479092</v>
      </c>
      <c r="I117" s="26"/>
      <c r="J117" s="6" t="s">
        <v>487</v>
      </c>
      <c r="K117" s="7">
        <v>45754</v>
      </c>
      <c r="L117" s="11">
        <v>3</v>
      </c>
      <c r="M117" s="7">
        <f t="shared" si="16"/>
        <v>46849</v>
      </c>
      <c r="N117" s="13">
        <f t="shared" ca="1" si="17"/>
        <v>630</v>
      </c>
      <c r="O117" s="11" t="str">
        <f t="shared" ca="1" si="18"/>
        <v>VIGENTE</v>
      </c>
      <c r="P117" s="6" t="str">
        <f t="shared" si="19"/>
        <v>10474790920 MONNA BEAUTY STUDIO NATALY ARACELLI CERQUIN PÉÑA 47479092 0009-2025 ESTILISMO</v>
      </c>
      <c r="Q117" s="18"/>
    </row>
    <row r="118" spans="1:17" s="9" customFormat="1" ht="27.6" customHeight="1">
      <c r="A118" s="6" t="s">
        <v>488</v>
      </c>
      <c r="B118" s="6" t="s">
        <v>1359</v>
      </c>
      <c r="C118" s="11">
        <v>2025</v>
      </c>
      <c r="D118" s="6" t="s">
        <v>489</v>
      </c>
      <c r="E118" s="11">
        <v>20612426938</v>
      </c>
      <c r="F118" s="6" t="s">
        <v>490</v>
      </c>
      <c r="G118" s="6" t="s">
        <v>491</v>
      </c>
      <c r="H118" s="26">
        <v>41872184</v>
      </c>
      <c r="I118" s="26"/>
      <c r="J118" s="6" t="s">
        <v>1245</v>
      </c>
      <c r="K118" s="7">
        <v>45757</v>
      </c>
      <c r="L118" s="11">
        <v>3</v>
      </c>
      <c r="M118" s="7">
        <f t="shared" si="16"/>
        <v>46852</v>
      </c>
      <c r="N118" s="13">
        <f t="shared" ca="1" si="17"/>
        <v>633</v>
      </c>
      <c r="O118" s="11" t="str">
        <f t="shared" ca="1" si="18"/>
        <v>VIGENTE</v>
      </c>
      <c r="P118" s="6" t="str">
        <f t="shared" si="19"/>
        <v>20612426938 MEGABYTE HD CAJAMARCA E.I.R.L LUZ ELENA VILCHEZ CARRASCO 41872184 0010-2025 COMPUTACIÓN E INFORMÁTICA</v>
      </c>
      <c r="Q118" s="18"/>
    </row>
    <row r="119" spans="1:17" s="9" customFormat="1" ht="27.6" customHeight="1">
      <c r="A119" s="6" t="s">
        <v>492</v>
      </c>
      <c r="B119" s="6" t="s">
        <v>1360</v>
      </c>
      <c r="C119" s="11">
        <v>2025</v>
      </c>
      <c r="D119" s="6" t="s">
        <v>493</v>
      </c>
      <c r="E119" s="11">
        <v>20125865071</v>
      </c>
      <c r="F119" s="6" t="s">
        <v>494</v>
      </c>
      <c r="G119" s="6" t="s">
        <v>495</v>
      </c>
      <c r="H119" s="26">
        <v>7320892</v>
      </c>
      <c r="I119" s="26"/>
      <c r="J119" s="6" t="s">
        <v>1246</v>
      </c>
      <c r="K119" s="7">
        <v>45757</v>
      </c>
      <c r="L119" s="11">
        <v>3</v>
      </c>
      <c r="M119" s="7">
        <f t="shared" si="16"/>
        <v>46852</v>
      </c>
      <c r="N119" s="13">
        <f t="shared" ca="1" si="17"/>
        <v>633</v>
      </c>
      <c r="O119" s="11" t="str">
        <f t="shared" ca="1" si="18"/>
        <v>VIGENTE</v>
      </c>
      <c r="P119" s="6" t="str">
        <f t="shared" si="19"/>
        <v>20125865071 FABRICACIONES Y SERVICIOS ELECTRO ELECTRONICOS S.A.C DANIEL AGUILAR BAUTISTA 7320892 0011-2025 ELECTRICIDAD</v>
      </c>
      <c r="Q119" s="18"/>
    </row>
    <row r="120" spans="1:17" s="9" customFormat="1" ht="27.6" customHeight="1">
      <c r="A120" s="6" t="s">
        <v>496</v>
      </c>
      <c r="B120" s="6" t="s">
        <v>1361</v>
      </c>
      <c r="C120" s="11">
        <v>2025</v>
      </c>
      <c r="D120" s="6" t="s">
        <v>497</v>
      </c>
      <c r="E120" s="11">
        <v>20496062656</v>
      </c>
      <c r="F120" s="6" t="s">
        <v>498</v>
      </c>
      <c r="G120" s="6" t="s">
        <v>499</v>
      </c>
      <c r="H120" s="26">
        <v>26730171</v>
      </c>
      <c r="I120" s="26"/>
      <c r="J120" s="6" t="s">
        <v>1245</v>
      </c>
      <c r="K120" s="7">
        <v>45757</v>
      </c>
      <c r="L120" s="11">
        <v>3</v>
      </c>
      <c r="M120" s="7">
        <f t="shared" si="16"/>
        <v>46852</v>
      </c>
      <c r="N120" s="13">
        <f t="shared" ca="1" si="17"/>
        <v>633</v>
      </c>
      <c r="O120" s="11" t="str">
        <f t="shared" ca="1" si="18"/>
        <v>VIGENTE</v>
      </c>
      <c r="P120" s="6" t="str">
        <f t="shared" si="19"/>
        <v>20496062656 INNOVA TECNOLOGÍA DE INFORMACIÓN S.R.L. CARLOS GONZALO PAJARES MIRANDA 26730171 0012-2025 COMPUTACIÓN E INFORMÁTICA</v>
      </c>
      <c r="Q120" s="18"/>
    </row>
    <row r="121" spans="1:17" s="9" customFormat="1" ht="27.6" customHeight="1">
      <c r="A121" s="6" t="s">
        <v>500</v>
      </c>
      <c r="B121" s="6" t="s">
        <v>1362</v>
      </c>
      <c r="C121" s="11">
        <v>2025</v>
      </c>
      <c r="D121" s="6" t="s">
        <v>501</v>
      </c>
      <c r="E121" s="11">
        <v>20605011072</v>
      </c>
      <c r="F121" s="6" t="s">
        <v>502</v>
      </c>
      <c r="G121" s="6" t="s">
        <v>503</v>
      </c>
      <c r="H121" s="26">
        <v>80302485</v>
      </c>
      <c r="I121" s="26"/>
      <c r="J121" s="6" t="s">
        <v>1244</v>
      </c>
      <c r="K121" s="7">
        <v>45775</v>
      </c>
      <c r="L121" s="11">
        <v>3</v>
      </c>
      <c r="M121" s="7">
        <f t="shared" si="16"/>
        <v>46870</v>
      </c>
      <c r="N121" s="13">
        <f t="shared" ca="1" si="17"/>
        <v>651</v>
      </c>
      <c r="O121" s="11" t="str">
        <f t="shared" ca="1" si="18"/>
        <v>VIGENTE</v>
      </c>
      <c r="P121" s="6" t="str">
        <f t="shared" si="19"/>
        <v>20605011072 CREATING CORPORATION SAC JOSIAS CAMPOS GUERRERO 80302485 0013-2025 ADMINISTRACIÓN Y COMERCIO</v>
      </c>
      <c r="Q121" s="18"/>
    </row>
    <row r="122" spans="1:17" s="9" customFormat="1" ht="27.6" customHeight="1">
      <c r="A122" s="6" t="s">
        <v>504</v>
      </c>
      <c r="B122" s="6" t="s">
        <v>1365</v>
      </c>
      <c r="C122" s="11">
        <v>2025</v>
      </c>
      <c r="D122" s="6" t="s">
        <v>505</v>
      </c>
      <c r="E122" s="11">
        <v>20529621371</v>
      </c>
      <c r="F122" s="6" t="s">
        <v>506</v>
      </c>
      <c r="G122" s="6" t="s">
        <v>507</v>
      </c>
      <c r="H122" s="26">
        <v>41938822</v>
      </c>
      <c r="I122" s="26"/>
      <c r="J122" s="6" t="s">
        <v>508</v>
      </c>
      <c r="K122" s="7">
        <v>45782</v>
      </c>
      <c r="L122" s="11">
        <v>3</v>
      </c>
      <c r="M122" s="7">
        <f t="shared" si="16"/>
        <v>46877</v>
      </c>
      <c r="N122" s="13">
        <f t="shared" ca="1" si="17"/>
        <v>658</v>
      </c>
      <c r="O122" s="11" t="str">
        <f t="shared" ca="1" si="18"/>
        <v>VIGENTE</v>
      </c>
      <c r="P122" s="6" t="str">
        <f t="shared" si="19"/>
        <v>20529621371 TIKINTI SRL GENNER RABANAL IBAÑEZ 41938822 0014-2025 TOPOGRAFÍA</v>
      </c>
      <c r="Q122" s="18"/>
    </row>
    <row r="123" spans="1:17" s="9" customFormat="1" ht="27.6" customHeight="1">
      <c r="A123" s="6" t="s">
        <v>509</v>
      </c>
      <c r="B123" s="6" t="s">
        <v>1363</v>
      </c>
      <c r="C123" s="11">
        <v>2025</v>
      </c>
      <c r="D123" s="6" t="s">
        <v>510</v>
      </c>
      <c r="E123" s="11">
        <v>20613591509</v>
      </c>
      <c r="F123" s="6" t="s">
        <v>511</v>
      </c>
      <c r="G123" s="6" t="s">
        <v>512</v>
      </c>
      <c r="H123" s="26">
        <v>72777167</v>
      </c>
      <c r="I123" s="26"/>
      <c r="J123" s="6" t="s">
        <v>487</v>
      </c>
      <c r="K123" s="7">
        <v>45790</v>
      </c>
      <c r="L123" s="11">
        <v>3</v>
      </c>
      <c r="M123" s="7">
        <f t="shared" si="16"/>
        <v>46885</v>
      </c>
      <c r="N123" s="13">
        <f t="shared" ca="1" si="17"/>
        <v>666</v>
      </c>
      <c r="O123" s="11" t="str">
        <f t="shared" ca="1" si="18"/>
        <v>VIGENTE</v>
      </c>
      <c r="P123" s="6" t="str">
        <f t="shared" si="19"/>
        <v>20613591509 BLOOM SPA PERÚ JHULIANA VANESA URQUIZO CHÁVEZ 72777167 0015-2025 ESTILISMO</v>
      </c>
      <c r="Q123" s="18"/>
    </row>
    <row r="124" spans="1:17" s="9" customFormat="1" ht="27.6" customHeight="1">
      <c r="A124" s="6" t="s">
        <v>513</v>
      </c>
      <c r="B124" s="6" t="s">
        <v>1364</v>
      </c>
      <c r="C124" s="11">
        <v>2025</v>
      </c>
      <c r="D124" s="6" t="s">
        <v>514</v>
      </c>
      <c r="E124" s="11">
        <v>20610913297</v>
      </c>
      <c r="F124" s="6" t="s">
        <v>515</v>
      </c>
      <c r="G124" s="6" t="s">
        <v>516</v>
      </c>
      <c r="H124" s="26">
        <v>73439526</v>
      </c>
      <c r="I124" s="26"/>
      <c r="J124" s="6" t="s">
        <v>1244</v>
      </c>
      <c r="K124" s="7">
        <v>45787</v>
      </c>
      <c r="L124" s="11">
        <v>3</v>
      </c>
      <c r="M124" s="7">
        <f t="shared" si="16"/>
        <v>46882</v>
      </c>
      <c r="N124" s="13">
        <f t="shared" ca="1" si="17"/>
        <v>663</v>
      </c>
      <c r="O124" s="11" t="str">
        <f t="shared" ca="1" si="18"/>
        <v>VIGENTE</v>
      </c>
      <c r="P124" s="6" t="str">
        <f t="shared" si="19"/>
        <v>20610913297 EXPANSION SALES MANAGEMENT S.A.C BLANCA MADELI ACUÑA LARA 73439526 0016-2025 ADMINISTRACIÓN Y COMERCIO</v>
      </c>
      <c r="Q124" s="18"/>
    </row>
    <row r="125" spans="1:17" s="9" customFormat="1" ht="27.6" customHeight="1">
      <c r="A125" s="6" t="s">
        <v>517</v>
      </c>
      <c r="B125" s="6" t="s">
        <v>1366</v>
      </c>
      <c r="C125" s="11">
        <v>2025</v>
      </c>
      <c r="D125" s="6" t="s">
        <v>518</v>
      </c>
      <c r="E125" s="11">
        <v>20610404538</v>
      </c>
      <c r="F125" s="6" t="s">
        <v>519</v>
      </c>
      <c r="G125" s="6" t="s">
        <v>520</v>
      </c>
      <c r="H125" s="26">
        <v>44641917</v>
      </c>
      <c r="I125" s="26"/>
      <c r="J125" s="6" t="s">
        <v>1246</v>
      </c>
      <c r="K125" s="7">
        <v>45791</v>
      </c>
      <c r="L125" s="11">
        <v>3</v>
      </c>
      <c r="M125" s="7">
        <f t="shared" si="16"/>
        <v>46886</v>
      </c>
      <c r="N125" s="13">
        <f t="shared" ca="1" si="17"/>
        <v>667</v>
      </c>
      <c r="O125" s="11" t="str">
        <f t="shared" ca="1" si="18"/>
        <v>VIGENTE</v>
      </c>
      <c r="P125" s="6" t="str">
        <f t="shared" si="19"/>
        <v>20610404538 JIREN SERVICES EIRL JHONY JHONN ACEVEDO ANDRES 44641917 0017-2025 ELECTRICIDAD</v>
      </c>
      <c r="Q125" s="18"/>
    </row>
    <row r="126" spans="1:17" s="9" customFormat="1" ht="27.6" customHeight="1">
      <c r="A126" s="6" t="s">
        <v>521</v>
      </c>
      <c r="B126" s="6" t="s">
        <v>1367</v>
      </c>
      <c r="C126" s="11">
        <v>2025</v>
      </c>
      <c r="D126" s="6" t="s">
        <v>522</v>
      </c>
      <c r="E126" s="11">
        <v>20607796905</v>
      </c>
      <c r="F126" s="6" t="s">
        <v>523</v>
      </c>
      <c r="G126" s="6" t="s">
        <v>524</v>
      </c>
      <c r="H126" s="26">
        <v>26729712</v>
      </c>
      <c r="I126" s="26"/>
      <c r="J126" s="6" t="s">
        <v>1244</v>
      </c>
      <c r="K126" s="7">
        <v>45791</v>
      </c>
      <c r="L126" s="11">
        <v>3</v>
      </c>
      <c r="M126" s="7">
        <f t="shared" si="16"/>
        <v>46886</v>
      </c>
      <c r="N126" s="13">
        <f t="shared" ca="1" si="17"/>
        <v>667</v>
      </c>
      <c r="O126" s="11" t="str">
        <f t="shared" ca="1" si="18"/>
        <v>VIGENTE</v>
      </c>
      <c r="P126" s="6" t="str">
        <f t="shared" si="19"/>
        <v>20607796905 PATMER PERU S.A.C MARTINA ARTIAGA HUAMAN 26729712 0018-2025 ADMINISTRACIÓN Y COMERCIO</v>
      </c>
      <c r="Q126" s="18"/>
    </row>
    <row r="127" spans="1:17" s="9" customFormat="1" ht="27.6" customHeight="1">
      <c r="A127" s="6" t="s">
        <v>525</v>
      </c>
      <c r="B127" s="6" t="s">
        <v>1368</v>
      </c>
      <c r="C127" s="11">
        <v>2025</v>
      </c>
      <c r="D127" s="6" t="s">
        <v>526</v>
      </c>
      <c r="E127" s="11">
        <v>20529474211</v>
      </c>
      <c r="F127" s="6" t="s">
        <v>527</v>
      </c>
      <c r="G127" s="6" t="s">
        <v>528</v>
      </c>
      <c r="H127" s="26">
        <v>41698539</v>
      </c>
      <c r="I127" s="26"/>
      <c r="J127" s="6" t="s">
        <v>1246</v>
      </c>
      <c r="K127" s="7">
        <v>45792</v>
      </c>
      <c r="L127" s="11">
        <v>3</v>
      </c>
      <c r="M127" s="7">
        <f t="shared" si="16"/>
        <v>46887</v>
      </c>
      <c r="N127" s="13">
        <f t="shared" ca="1" si="17"/>
        <v>668</v>
      </c>
      <c r="O127" s="11" t="str">
        <f t="shared" ca="1" si="18"/>
        <v>VIGENTE</v>
      </c>
      <c r="P127" s="6" t="str">
        <f t="shared" si="19"/>
        <v>20529474211 JUCASA SERVICIOS GENERALES E.I.R.L GILBERTO PAISIG BARDALES 41698539 0019-2025 ELECTRICIDAD</v>
      </c>
      <c r="Q127" s="18"/>
    </row>
    <row r="128" spans="1:17" s="9" customFormat="1" ht="27.6" customHeight="1">
      <c r="A128" s="6" t="s">
        <v>529</v>
      </c>
      <c r="B128" s="6" t="s">
        <v>1369</v>
      </c>
      <c r="C128" s="11">
        <v>2025</v>
      </c>
      <c r="D128" s="6" t="s">
        <v>530</v>
      </c>
      <c r="E128" s="11">
        <v>20608858718</v>
      </c>
      <c r="F128" s="6" t="s">
        <v>531</v>
      </c>
      <c r="G128" s="6" t="s">
        <v>532</v>
      </c>
      <c r="H128" s="26">
        <v>46169865</v>
      </c>
      <c r="I128" s="26"/>
      <c r="J128" s="6" t="s">
        <v>466</v>
      </c>
      <c r="K128" s="7">
        <v>45804</v>
      </c>
      <c r="L128" s="11">
        <v>3</v>
      </c>
      <c r="M128" s="7">
        <f t="shared" si="16"/>
        <v>46899</v>
      </c>
      <c r="N128" s="13">
        <f t="shared" ca="1" si="17"/>
        <v>680</v>
      </c>
      <c r="O128" s="11" t="str">
        <f t="shared" ca="1" si="18"/>
        <v>VIGENTE</v>
      </c>
      <c r="P128" s="6" t="str">
        <f t="shared" si="19"/>
        <v>20608858718 COMO EN CASA FOOD &amp; GRILL E.I.R.L LEONOR BEATRIZ ALVARDO LLANOS 46169865 0020-2025 COCINA</v>
      </c>
      <c r="Q128" s="18"/>
    </row>
    <row r="129" spans="1:17" s="9" customFormat="1" ht="27.6" customHeight="1">
      <c r="A129" s="6" t="s">
        <v>533</v>
      </c>
      <c r="B129" s="6" t="s">
        <v>1370</v>
      </c>
      <c r="C129" s="11">
        <v>2025</v>
      </c>
      <c r="D129" s="6" t="s">
        <v>534</v>
      </c>
      <c r="E129" s="11">
        <v>439117</v>
      </c>
      <c r="F129" s="6" t="s">
        <v>535</v>
      </c>
      <c r="G129" s="6" t="s">
        <v>536</v>
      </c>
      <c r="H129" s="26">
        <v>26959276</v>
      </c>
      <c r="I129" s="26"/>
      <c r="J129" s="6" t="s">
        <v>1245</v>
      </c>
      <c r="K129" s="7">
        <v>45804</v>
      </c>
      <c r="L129" s="11">
        <v>3</v>
      </c>
      <c r="M129" s="7">
        <f t="shared" si="16"/>
        <v>46899</v>
      </c>
      <c r="N129" s="13">
        <f t="shared" ca="1" si="17"/>
        <v>680</v>
      </c>
      <c r="O129" s="11" t="str">
        <f t="shared" ca="1" si="18"/>
        <v>VIGENTE</v>
      </c>
      <c r="P129" s="6" t="str">
        <f t="shared" si="19"/>
        <v>439117 I.E.N° 82195 RICARDO DAVID CRUZ ARÉVALO 26959276 0021-2025 COMPUTACIÓN E INFORMÁTICA</v>
      </c>
      <c r="Q129" s="18"/>
    </row>
    <row r="130" spans="1:17" s="9" customFormat="1" ht="27.6" customHeight="1">
      <c r="A130" s="6" t="s">
        <v>537</v>
      </c>
      <c r="B130" s="6" t="s">
        <v>1371</v>
      </c>
      <c r="C130" s="11">
        <v>2025</v>
      </c>
      <c r="D130" s="6" t="s">
        <v>538</v>
      </c>
      <c r="E130" s="11">
        <v>20607028673</v>
      </c>
      <c r="F130" s="6" t="s">
        <v>539</v>
      </c>
      <c r="G130" s="6" t="s">
        <v>540</v>
      </c>
      <c r="H130" s="26">
        <v>45655586</v>
      </c>
      <c r="I130" s="26"/>
      <c r="J130" s="6" t="s">
        <v>1244</v>
      </c>
      <c r="K130" s="7">
        <v>45804</v>
      </c>
      <c r="L130" s="11">
        <v>3</v>
      </c>
      <c r="M130" s="7">
        <f t="shared" si="16"/>
        <v>46899</v>
      </c>
      <c r="N130" s="13">
        <f t="shared" ca="1" si="17"/>
        <v>680</v>
      </c>
      <c r="O130" s="11" t="str">
        <f t="shared" ca="1" si="18"/>
        <v>VIGENTE</v>
      </c>
      <c r="P130" s="6" t="str">
        <f t="shared" si="19"/>
        <v>20607028673 IMPORTADORA Y DISTRIBUIDORA LA CASA DEL FIERRO EIRL HAYDEE MUÑOZ SANCHEZ 45655586 0022-2025 ADMINISTRACIÓN Y COMERCIO</v>
      </c>
      <c r="Q130" s="18"/>
    </row>
    <row r="131" spans="1:17" s="9" customFormat="1" ht="27.6" customHeight="1">
      <c r="A131" s="6" t="s">
        <v>541</v>
      </c>
      <c r="B131" s="6" t="s">
        <v>1372</v>
      </c>
      <c r="C131" s="11">
        <v>2025</v>
      </c>
      <c r="D131" s="6" t="s">
        <v>542</v>
      </c>
      <c r="E131" s="11">
        <v>20609258226</v>
      </c>
      <c r="F131" s="6" t="s">
        <v>543</v>
      </c>
      <c r="G131" s="6" t="s">
        <v>544</v>
      </c>
      <c r="H131" s="26">
        <v>45651219</v>
      </c>
      <c r="I131" s="26"/>
      <c r="J131" s="6" t="s">
        <v>1244</v>
      </c>
      <c r="K131" s="7">
        <v>45804</v>
      </c>
      <c r="L131" s="11">
        <v>3</v>
      </c>
      <c r="M131" s="7">
        <f t="shared" si="16"/>
        <v>46899</v>
      </c>
      <c r="N131" s="13">
        <f t="shared" ca="1" si="17"/>
        <v>680</v>
      </c>
      <c r="O131" s="11" t="str">
        <f t="shared" ca="1" si="18"/>
        <v>VIGENTE</v>
      </c>
      <c r="P131" s="6" t="str">
        <f t="shared" si="19"/>
        <v>20609258226 PILANCONES FERRETERIA Y SERVICIOS GENERALES E.I.R.L BAGNER QUISPE DELGADO 45651219 0023-2025 ADMINISTRACIÓN Y COMERCIO</v>
      </c>
      <c r="Q131" s="18"/>
    </row>
    <row r="132" spans="1:17" s="9" customFormat="1" ht="27.6" customHeight="1">
      <c r="A132" s="6" t="s">
        <v>545</v>
      </c>
      <c r="B132" s="6" t="s">
        <v>1373</v>
      </c>
      <c r="C132" s="11">
        <v>2025</v>
      </c>
      <c r="D132" s="6" t="s">
        <v>546</v>
      </c>
      <c r="E132" s="11">
        <v>20453678947</v>
      </c>
      <c r="F132" s="6" t="s">
        <v>547</v>
      </c>
      <c r="G132" s="6" t="s">
        <v>548</v>
      </c>
      <c r="H132" s="26">
        <v>26724025</v>
      </c>
      <c r="I132" s="26"/>
      <c r="J132" s="6" t="s">
        <v>1244</v>
      </c>
      <c r="K132" s="7">
        <v>45804</v>
      </c>
      <c r="L132" s="11">
        <v>3</v>
      </c>
      <c r="M132" s="7">
        <f t="shared" si="16"/>
        <v>46899</v>
      </c>
      <c r="N132" s="13">
        <f t="shared" ca="1" si="17"/>
        <v>680</v>
      </c>
      <c r="O132" s="11" t="str">
        <f t="shared" ca="1" si="18"/>
        <v>VIGENTE</v>
      </c>
      <c r="P132" s="6" t="str">
        <f t="shared" si="19"/>
        <v>20453678947 FERRETERIA EL SOL SRL NICOLÁS CHUGNAS MOSQUEIRA 26724025 0024-2025 ADMINISTRACIÓN Y COMERCIO</v>
      </c>
      <c r="Q132" s="18"/>
    </row>
    <row r="133" spans="1:17" s="9" customFormat="1" ht="27.6" customHeight="1">
      <c r="A133" s="6" t="s">
        <v>549</v>
      </c>
      <c r="B133" s="6" t="s">
        <v>1374</v>
      </c>
      <c r="C133" s="11">
        <v>2025</v>
      </c>
      <c r="D133" s="6" t="s">
        <v>550</v>
      </c>
      <c r="E133" s="11">
        <v>20529338113</v>
      </c>
      <c r="F133" s="6" t="s">
        <v>551</v>
      </c>
      <c r="G133" s="6" t="s">
        <v>552</v>
      </c>
      <c r="H133" s="26">
        <v>26682123</v>
      </c>
      <c r="I133" s="26"/>
      <c r="J133" s="6" t="s">
        <v>1244</v>
      </c>
      <c r="K133" s="7">
        <v>45804</v>
      </c>
      <c r="L133" s="11">
        <v>3</v>
      </c>
      <c r="M133" s="7">
        <f t="shared" si="16"/>
        <v>46899</v>
      </c>
      <c r="N133" s="13">
        <f t="shared" ca="1" si="17"/>
        <v>680</v>
      </c>
      <c r="O133" s="11" t="str">
        <f t="shared" ca="1" si="18"/>
        <v>VIGENTE</v>
      </c>
      <c r="P133" s="6" t="str">
        <f t="shared" si="19"/>
        <v>20529338113 GRUPO MI CASA M Y M MIRIAM ROSA CASTILLO CABRERA 26682123 0025-2025 ADMINISTRACIÓN Y COMERCIO</v>
      </c>
      <c r="Q133" s="18"/>
    </row>
    <row r="134" spans="1:17" s="9" customFormat="1" ht="27.6" customHeight="1">
      <c r="A134" s="6" t="s">
        <v>553</v>
      </c>
      <c r="B134" s="6" t="s">
        <v>1375</v>
      </c>
      <c r="C134" s="11">
        <v>2025</v>
      </c>
      <c r="D134" s="6" t="s">
        <v>554</v>
      </c>
      <c r="E134" s="11">
        <v>6020051</v>
      </c>
      <c r="F134" s="6" t="s">
        <v>555</v>
      </c>
      <c r="G134" s="6" t="s">
        <v>556</v>
      </c>
      <c r="H134" s="26">
        <v>40447180</v>
      </c>
      <c r="I134" s="26"/>
      <c r="J134" s="6" t="s">
        <v>1244</v>
      </c>
      <c r="K134" s="7">
        <v>45804</v>
      </c>
      <c r="L134" s="11">
        <v>3</v>
      </c>
      <c r="M134" s="7">
        <f t="shared" ref="M134:M165" si="20">IF(OR(K134="",L134=""),"",DATE(YEAR(K134)+L134,MONTH(K134),DAY(K134))-1)</f>
        <v>46899</v>
      </c>
      <c r="N134" s="13">
        <f t="shared" ref="N134:N165" ca="1" si="21">IF(M134="","",M134-TODAY())</f>
        <v>680</v>
      </c>
      <c r="O134" s="11" t="str">
        <f t="shared" ref="O134:O165" ca="1" si="22">IF(M134="","SIN FECHA",IF(M134&lt;TODAY(),"VENCIDO",IF(M134-TODAY()&lt;=30,"POR VENCER","VIGENTE")))</f>
        <v>VIGENTE</v>
      </c>
      <c r="P134" s="6" t="str">
        <f t="shared" ref="P134:P165" si="23">UPPER(TRIM(E134&amp;" "&amp;D134&amp;" "&amp;G134&amp;" "&amp;H134&amp;" "&amp;I134&amp;" "&amp;B134&amp;" "&amp;J134))</f>
        <v>6020051 CAR ALDEA SAN ANTONIO ROSITA LIZ ALCÁNTARA LÓPEZ 40447180 0026-2025 ADMINISTRACIÓN Y COMERCIO</v>
      </c>
      <c r="Q134" s="18"/>
    </row>
    <row r="135" spans="1:17" s="9" customFormat="1" ht="27.6" customHeight="1">
      <c r="A135" s="6" t="s">
        <v>557</v>
      </c>
      <c r="B135" s="6" t="s">
        <v>1376</v>
      </c>
      <c r="C135" s="11">
        <v>2025</v>
      </c>
      <c r="D135" s="6" t="s">
        <v>558</v>
      </c>
      <c r="E135" s="11">
        <v>10463313534</v>
      </c>
      <c r="F135" s="6" t="s">
        <v>559</v>
      </c>
      <c r="G135" s="6" t="s">
        <v>560</v>
      </c>
      <c r="H135" s="26">
        <v>46331353</v>
      </c>
      <c r="I135" s="26"/>
      <c r="J135" s="6" t="s">
        <v>466</v>
      </c>
      <c r="K135" s="7">
        <v>45804</v>
      </c>
      <c r="L135" s="11">
        <v>3</v>
      </c>
      <c r="M135" s="7">
        <f t="shared" si="20"/>
        <v>46899</v>
      </c>
      <c r="N135" s="13">
        <f t="shared" ca="1" si="21"/>
        <v>680</v>
      </c>
      <c r="O135" s="11" t="str">
        <f t="shared" ca="1" si="22"/>
        <v>VIGENTE</v>
      </c>
      <c r="P135" s="6" t="str">
        <f t="shared" si="23"/>
        <v>10463313534 RESTAURANT CEBICHERÍA EL RINCÓN DE LA MONARCA LUCY AIMEE CENTURIÓN LOPEZ 46331353 0027-2025 COCINA</v>
      </c>
      <c r="Q135" s="18"/>
    </row>
    <row r="136" spans="1:17" s="9" customFormat="1" ht="27.6" customHeight="1">
      <c r="A136" s="6" t="s">
        <v>561</v>
      </c>
      <c r="B136" s="6" t="s">
        <v>1377</v>
      </c>
      <c r="C136" s="11">
        <v>2025</v>
      </c>
      <c r="D136" s="6" t="s">
        <v>562</v>
      </c>
      <c r="E136" s="11">
        <v>1626936</v>
      </c>
      <c r="F136" s="6" t="s">
        <v>563</v>
      </c>
      <c r="G136" s="6" t="s">
        <v>564</v>
      </c>
      <c r="H136" s="26">
        <v>26644509</v>
      </c>
      <c r="I136" s="26"/>
      <c r="J136" s="6" t="s">
        <v>1245</v>
      </c>
      <c r="K136" s="7">
        <v>45805</v>
      </c>
      <c r="L136" s="11">
        <v>3</v>
      </c>
      <c r="M136" s="7">
        <f t="shared" si="20"/>
        <v>46900</v>
      </c>
      <c r="N136" s="13">
        <f t="shared" ca="1" si="21"/>
        <v>681</v>
      </c>
      <c r="O136" s="11" t="str">
        <f t="shared" ca="1" si="22"/>
        <v>VIGENTE</v>
      </c>
      <c r="P136" s="6" t="str">
        <f t="shared" si="23"/>
        <v>1626936 EL COLEGIO APLICACIÓN I.E VICTORINO ELORZ GOICOECHEA EVER LINCOL ARRIBASPLATA SÁNCHEZ 26644509 0028-2025 COMPUTACIÓN E INFORMÁTICA</v>
      </c>
      <c r="Q136" s="18"/>
    </row>
    <row r="137" spans="1:17" s="9" customFormat="1" ht="27.6" customHeight="1">
      <c r="A137" s="6" t="s">
        <v>565</v>
      </c>
      <c r="B137" s="6" t="s">
        <v>1378</v>
      </c>
      <c r="C137" s="11">
        <v>2025</v>
      </c>
      <c r="D137" s="6" t="s">
        <v>566</v>
      </c>
      <c r="E137" s="11">
        <v>1532621</v>
      </c>
      <c r="F137" s="6" t="s">
        <v>567</v>
      </c>
      <c r="G137" s="6" t="s">
        <v>568</v>
      </c>
      <c r="H137" s="26">
        <v>41936935</v>
      </c>
      <c r="I137" s="26"/>
      <c r="J137" s="6" t="s">
        <v>1245</v>
      </c>
      <c r="K137" s="7">
        <v>45805</v>
      </c>
      <c r="L137" s="11">
        <v>3</v>
      </c>
      <c r="M137" s="7">
        <f t="shared" si="20"/>
        <v>46900</v>
      </c>
      <c r="N137" s="13">
        <f t="shared" ca="1" si="21"/>
        <v>681</v>
      </c>
      <c r="O137" s="11" t="str">
        <f t="shared" ca="1" si="22"/>
        <v>VIGENTE</v>
      </c>
      <c r="P137" s="6" t="str">
        <f t="shared" si="23"/>
        <v>1532621 I.E PRIVADO RETOÑITOS DE AMOR WILSON PEPE SALAZAR ORTIZ 41936935 0029-2025 COMPUTACIÓN E INFORMÁTICA</v>
      </c>
      <c r="Q137" s="18"/>
    </row>
    <row r="138" spans="1:17" s="9" customFormat="1" ht="27.6" customHeight="1">
      <c r="A138" s="6" t="s">
        <v>569</v>
      </c>
      <c r="B138" s="6" t="s">
        <v>1379</v>
      </c>
      <c r="C138" s="11">
        <v>2025</v>
      </c>
      <c r="D138" s="6" t="s">
        <v>570</v>
      </c>
      <c r="E138" s="11">
        <v>649814</v>
      </c>
      <c r="F138" s="6" t="s">
        <v>571</v>
      </c>
      <c r="G138" s="6" t="s">
        <v>572</v>
      </c>
      <c r="H138" s="26">
        <v>26646371</v>
      </c>
      <c r="I138" s="26"/>
      <c r="J138" s="6" t="s">
        <v>1245</v>
      </c>
      <c r="K138" s="7">
        <v>45805</v>
      </c>
      <c r="L138" s="11">
        <v>3</v>
      </c>
      <c r="M138" s="7">
        <f t="shared" si="20"/>
        <v>46900</v>
      </c>
      <c r="N138" s="13">
        <f t="shared" ca="1" si="21"/>
        <v>681</v>
      </c>
      <c r="O138" s="11" t="str">
        <f t="shared" ca="1" si="22"/>
        <v>VIGENTE</v>
      </c>
      <c r="P138" s="6" t="str">
        <f t="shared" si="23"/>
        <v>649814 I.E N° 126 BAJO OTUZCO LILIA ARACELII BARRANTE CABANILLAS 26646371 0030-2025 COMPUTACIÓN E INFORMÁTICA</v>
      </c>
      <c r="Q138" s="18"/>
    </row>
    <row r="139" spans="1:17" s="9" customFormat="1" ht="27.6" customHeight="1">
      <c r="A139" s="6" t="s">
        <v>573</v>
      </c>
      <c r="B139" s="6" t="s">
        <v>1380</v>
      </c>
      <c r="C139" s="11">
        <v>2025</v>
      </c>
      <c r="D139" s="6" t="s">
        <v>574</v>
      </c>
      <c r="E139" s="11">
        <v>442509</v>
      </c>
      <c r="F139" s="6" t="s">
        <v>575</v>
      </c>
      <c r="G139" s="6" t="s">
        <v>576</v>
      </c>
      <c r="H139" s="26">
        <v>26692710</v>
      </c>
      <c r="I139" s="26"/>
      <c r="J139" s="6" t="s">
        <v>1245</v>
      </c>
      <c r="K139" s="7">
        <v>45805</v>
      </c>
      <c r="L139" s="11">
        <v>3</v>
      </c>
      <c r="M139" s="7">
        <f t="shared" si="20"/>
        <v>46900</v>
      </c>
      <c r="N139" s="13">
        <f t="shared" ca="1" si="21"/>
        <v>681</v>
      </c>
      <c r="O139" s="11" t="str">
        <f t="shared" ca="1" si="22"/>
        <v>VIGENTE</v>
      </c>
      <c r="P139" s="6" t="str">
        <f t="shared" si="23"/>
        <v>442509 I.E INICIAL N° 020 EMPERATRIZ GEORGINA ROJAS DE LA PUENTE 26692710 0031-2025 COMPUTACIÓN E INFORMÁTICA</v>
      </c>
      <c r="Q139" s="18"/>
    </row>
    <row r="140" spans="1:17" s="9" customFormat="1" ht="27.6" customHeight="1">
      <c r="A140" s="6" t="s">
        <v>577</v>
      </c>
      <c r="B140" s="6" t="s">
        <v>1381</v>
      </c>
      <c r="C140" s="11">
        <v>2025</v>
      </c>
      <c r="D140" s="6" t="s">
        <v>578</v>
      </c>
      <c r="E140" s="11">
        <v>20613667912</v>
      </c>
      <c r="F140" s="6" t="s">
        <v>579</v>
      </c>
      <c r="G140" s="6" t="s">
        <v>580</v>
      </c>
      <c r="H140" s="26">
        <v>47239871</v>
      </c>
      <c r="I140" s="26"/>
      <c r="J140" s="6" t="s">
        <v>1244</v>
      </c>
      <c r="K140" s="7">
        <v>45805</v>
      </c>
      <c r="L140" s="11">
        <v>3</v>
      </c>
      <c r="M140" s="7">
        <f t="shared" si="20"/>
        <v>46900</v>
      </c>
      <c r="N140" s="13">
        <f t="shared" ca="1" si="21"/>
        <v>681</v>
      </c>
      <c r="O140" s="11" t="str">
        <f t="shared" ca="1" si="22"/>
        <v>VIGENTE</v>
      </c>
      <c r="P140" s="6" t="str">
        <f t="shared" si="23"/>
        <v>20613667912 INVERSIONES CICSA CAJAMARCA S.R.L EDWIN JHONE CAMPOS SOBERON 47239871 0033-2025 ADMINISTRACIÓN Y COMERCIO</v>
      </c>
      <c r="Q140" s="18"/>
    </row>
    <row r="141" spans="1:17" s="9" customFormat="1" ht="27.6" customHeight="1">
      <c r="A141" s="6" t="s">
        <v>581</v>
      </c>
      <c r="B141" s="6" t="s">
        <v>1382</v>
      </c>
      <c r="C141" s="11">
        <v>2025</v>
      </c>
      <c r="D141" s="6" t="s">
        <v>582</v>
      </c>
      <c r="E141" s="11">
        <v>10441092305</v>
      </c>
      <c r="F141" s="6" t="s">
        <v>583</v>
      </c>
      <c r="G141" s="6" t="s">
        <v>584</v>
      </c>
      <c r="H141" s="26">
        <v>44109230</v>
      </c>
      <c r="I141" s="26"/>
      <c r="J141" s="6" t="s">
        <v>466</v>
      </c>
      <c r="K141" s="7">
        <v>45805</v>
      </c>
      <c r="L141" s="11">
        <v>3</v>
      </c>
      <c r="M141" s="7">
        <f t="shared" si="20"/>
        <v>46900</v>
      </c>
      <c r="N141" s="13">
        <f t="shared" ca="1" si="21"/>
        <v>681</v>
      </c>
      <c r="O141" s="11" t="str">
        <f t="shared" ca="1" si="22"/>
        <v>VIGENTE</v>
      </c>
      <c r="P141" s="6" t="str">
        <f t="shared" si="23"/>
        <v>10441092305 POLLERÍA REAL CHICKEN NILGAR EDILCIO ALAYA RODRÍGUEZ 44109230 0034-2025 COCINA</v>
      </c>
      <c r="Q141" s="18"/>
    </row>
    <row r="142" spans="1:17" s="9" customFormat="1" ht="27.6" customHeight="1">
      <c r="A142" s="6" t="s">
        <v>585</v>
      </c>
      <c r="B142" s="6" t="s">
        <v>1383</v>
      </c>
      <c r="C142" s="11">
        <v>2025</v>
      </c>
      <c r="D142" s="6" t="s">
        <v>586</v>
      </c>
      <c r="E142" s="11">
        <v>10267052625</v>
      </c>
      <c r="F142" s="6" t="s">
        <v>587</v>
      </c>
      <c r="G142" s="6" t="s">
        <v>588</v>
      </c>
      <c r="H142" s="26">
        <v>26705262</v>
      </c>
      <c r="I142" s="26"/>
      <c r="J142" s="6" t="s">
        <v>1244</v>
      </c>
      <c r="K142" s="7">
        <v>45810</v>
      </c>
      <c r="L142" s="11">
        <v>3</v>
      </c>
      <c r="M142" s="7">
        <f t="shared" si="20"/>
        <v>46905</v>
      </c>
      <c r="N142" s="13">
        <f t="shared" ca="1" si="21"/>
        <v>686</v>
      </c>
      <c r="O142" s="11" t="str">
        <f t="shared" ca="1" si="22"/>
        <v>VIGENTE</v>
      </c>
      <c r="P142" s="6" t="str">
        <f t="shared" si="23"/>
        <v>10267052625 FERRETERÍA VÁSQUEZ EDGAR VÁSQUEZ SALAZAR 26705262 0037-2025 ADMINISTRACIÓN Y COMERCIO</v>
      </c>
      <c r="Q142" s="18"/>
    </row>
    <row r="143" spans="1:17" s="9" customFormat="1" ht="27.6" customHeight="1">
      <c r="A143" s="6" t="s">
        <v>589</v>
      </c>
      <c r="B143" s="6" t="s">
        <v>1384</v>
      </c>
      <c r="C143" s="11">
        <v>2025</v>
      </c>
      <c r="D143" s="6" t="s">
        <v>590</v>
      </c>
      <c r="E143" s="11">
        <v>20495657630</v>
      </c>
      <c r="F143" s="6" t="s">
        <v>591</v>
      </c>
      <c r="G143" s="6" t="s">
        <v>592</v>
      </c>
      <c r="H143" s="26">
        <v>43777212</v>
      </c>
      <c r="I143" s="26"/>
      <c r="J143" s="6" t="s">
        <v>1244</v>
      </c>
      <c r="K143" s="7">
        <v>45810</v>
      </c>
      <c r="L143" s="11">
        <v>3</v>
      </c>
      <c r="M143" s="7">
        <f t="shared" si="20"/>
        <v>46905</v>
      </c>
      <c r="N143" s="13">
        <f t="shared" ca="1" si="21"/>
        <v>686</v>
      </c>
      <c r="O143" s="11" t="str">
        <f t="shared" ca="1" si="22"/>
        <v>VIGENTE</v>
      </c>
      <c r="P143" s="6" t="str">
        <f t="shared" si="23"/>
        <v>20495657630 DISTRIBUIDORA DE ACEROS MEDINA SRL ELVIS FAUSTO MEDINA GARCÍA 43777212 0038-2025 ADMINISTRACIÓN Y COMERCIO</v>
      </c>
      <c r="Q143" s="18"/>
    </row>
    <row r="144" spans="1:17" s="9" customFormat="1" ht="27.6" customHeight="1">
      <c r="A144" s="6" t="s">
        <v>593</v>
      </c>
      <c r="B144" s="6" t="s">
        <v>594</v>
      </c>
      <c r="C144" s="11">
        <v>2025</v>
      </c>
      <c r="D144" s="6" t="s">
        <v>595</v>
      </c>
      <c r="E144" s="11">
        <v>20608424751</v>
      </c>
      <c r="F144" s="6" t="s">
        <v>596</v>
      </c>
      <c r="G144" s="6" t="s">
        <v>597</v>
      </c>
      <c r="H144" s="26">
        <v>75497552</v>
      </c>
      <c r="I144" s="26"/>
      <c r="J144" s="6" t="s">
        <v>466</v>
      </c>
      <c r="K144" s="7">
        <v>45722</v>
      </c>
      <c r="L144" s="11">
        <v>3</v>
      </c>
      <c r="M144" s="7">
        <f t="shared" si="20"/>
        <v>46817</v>
      </c>
      <c r="N144" s="13">
        <f t="shared" ca="1" si="21"/>
        <v>598</v>
      </c>
      <c r="O144" s="11" t="str">
        <f t="shared" ca="1" si="22"/>
        <v>VIGENTE</v>
      </c>
      <c r="P144" s="6" t="str">
        <f t="shared" si="23"/>
        <v>20608424751 POISEIDON CAMPESTRE SAC RAUL SEVASTIAN ARRUE HUAPAYA 75497552 0039-2025 COCINA</v>
      </c>
      <c r="Q144" s="18"/>
    </row>
    <row r="145" spans="1:17" s="9" customFormat="1" ht="27.6" customHeight="1">
      <c r="A145" s="6" t="s">
        <v>598</v>
      </c>
      <c r="B145" s="6" t="s">
        <v>599</v>
      </c>
      <c r="C145" s="11">
        <v>2025</v>
      </c>
      <c r="D145" s="6" t="s">
        <v>600</v>
      </c>
      <c r="E145" s="11">
        <v>20609277921</v>
      </c>
      <c r="F145" s="6" t="s">
        <v>601</v>
      </c>
      <c r="G145" s="6" t="s">
        <v>602</v>
      </c>
      <c r="H145" s="26">
        <v>72651210</v>
      </c>
      <c r="I145" s="26"/>
      <c r="J145" s="6" t="s">
        <v>466</v>
      </c>
      <c r="K145" s="7">
        <v>45722</v>
      </c>
      <c r="L145" s="11">
        <v>3</v>
      </c>
      <c r="M145" s="7">
        <f t="shared" si="20"/>
        <v>46817</v>
      </c>
      <c r="N145" s="13">
        <f t="shared" ca="1" si="21"/>
        <v>598</v>
      </c>
      <c r="O145" s="11" t="str">
        <f t="shared" ca="1" si="22"/>
        <v>VIGENTE</v>
      </c>
      <c r="P145" s="6" t="str">
        <f t="shared" si="23"/>
        <v>20609277921 ENTRE POLLOS Y COSTILLAS JULIO CESAR CHUGNAS FLORES 72651210 0040-2025 COCINA</v>
      </c>
      <c r="Q145" s="18"/>
    </row>
    <row r="146" spans="1:17" s="9" customFormat="1" ht="27.6" customHeight="1">
      <c r="A146" s="6" t="s">
        <v>603</v>
      </c>
      <c r="B146" s="6" t="s">
        <v>604</v>
      </c>
      <c r="C146" s="11">
        <v>2025</v>
      </c>
      <c r="D146" s="6" t="s">
        <v>605</v>
      </c>
      <c r="E146" s="11">
        <v>20611986450</v>
      </c>
      <c r="F146" s="6" t="s">
        <v>606</v>
      </c>
      <c r="G146" s="6" t="s">
        <v>607</v>
      </c>
      <c r="H146" s="26">
        <v>10476944</v>
      </c>
      <c r="I146" s="26"/>
      <c r="J146" s="6" t="s">
        <v>466</v>
      </c>
      <c r="K146" s="7">
        <v>46087</v>
      </c>
      <c r="L146" s="11">
        <v>3</v>
      </c>
      <c r="M146" s="7">
        <f t="shared" si="20"/>
        <v>47182</v>
      </c>
      <c r="N146" s="13">
        <f t="shared" ca="1" si="21"/>
        <v>963</v>
      </c>
      <c r="O146" s="11" t="str">
        <f t="shared" ca="1" si="22"/>
        <v>VIGENTE</v>
      </c>
      <c r="P146" s="6" t="str">
        <f t="shared" si="23"/>
        <v>20611986450 HOTEL CASA HACIENDA SANTA ROSA LUIS FERNANDO CASTAÑEDA VIZCONDE 10476944 0041-2025 COCINA</v>
      </c>
      <c r="Q146" s="18"/>
    </row>
    <row r="147" spans="1:17" s="9" customFormat="1" ht="27.6" customHeight="1">
      <c r="A147" s="6" t="s">
        <v>608</v>
      </c>
      <c r="B147" s="6" t="s">
        <v>609</v>
      </c>
      <c r="C147" s="11">
        <v>2025</v>
      </c>
      <c r="D147" s="6" t="s">
        <v>610</v>
      </c>
      <c r="E147" s="11">
        <v>20100901481</v>
      </c>
      <c r="F147" s="6" t="s">
        <v>611</v>
      </c>
      <c r="G147" s="6" t="s">
        <v>612</v>
      </c>
      <c r="H147" s="26">
        <v>40091531</v>
      </c>
      <c r="I147" s="26"/>
      <c r="J147" s="6" t="s">
        <v>613</v>
      </c>
      <c r="K147" s="7">
        <v>45722</v>
      </c>
      <c r="L147" s="11">
        <v>3</v>
      </c>
      <c r="M147" s="7">
        <f t="shared" si="20"/>
        <v>46817</v>
      </c>
      <c r="N147" s="13">
        <f t="shared" ca="1" si="21"/>
        <v>598</v>
      </c>
      <c r="O147" s="11" t="str">
        <f t="shared" ca="1" si="22"/>
        <v>VIGENTE</v>
      </c>
      <c r="P147" s="6" t="str">
        <f t="shared" si="23"/>
        <v>20100901481 J&amp;V RESGUARDADO SAC EDGARDO ESCOBAR ALVITREZ 40091531 0043-2025 SERVICIOS SOCIALES Y DE SALUD</v>
      </c>
      <c r="Q147" s="18"/>
    </row>
    <row r="148" spans="1:17" s="9" customFormat="1" ht="27.6" customHeight="1">
      <c r="A148" s="6" t="s">
        <v>614</v>
      </c>
      <c r="B148" s="6" t="s">
        <v>615</v>
      </c>
      <c r="C148" s="11">
        <v>2025</v>
      </c>
      <c r="D148" s="6" t="s">
        <v>616</v>
      </c>
      <c r="E148" s="11">
        <v>20495755054</v>
      </c>
      <c r="F148" s="6" t="s">
        <v>617</v>
      </c>
      <c r="G148" s="6" t="s">
        <v>618</v>
      </c>
      <c r="H148" s="26" t="s">
        <v>619</v>
      </c>
      <c r="I148" s="26"/>
      <c r="J148" s="6" t="s">
        <v>487</v>
      </c>
      <c r="K148" s="7">
        <v>45722</v>
      </c>
      <c r="L148" s="11">
        <v>3</v>
      </c>
      <c r="M148" s="7">
        <f t="shared" si="20"/>
        <v>46817</v>
      </c>
      <c r="N148" s="13">
        <f t="shared" ca="1" si="21"/>
        <v>598</v>
      </c>
      <c r="O148" s="11" t="str">
        <f t="shared" ca="1" si="22"/>
        <v>VIGENTE</v>
      </c>
      <c r="P148" s="6" t="str">
        <f t="shared" si="23"/>
        <v>20495755054 OLIVOS SALON &amp; SPA EIRL ROXANA DEL MILAGRO AGUERO OLIVOS 07452853 0045-2025 ESTILISMO</v>
      </c>
      <c r="Q148" s="18"/>
    </row>
    <row r="149" spans="1:17" s="9" customFormat="1" ht="27.6" customHeight="1">
      <c r="A149" s="6" t="s">
        <v>620</v>
      </c>
      <c r="B149" s="6" t="s">
        <v>621</v>
      </c>
      <c r="C149" s="11">
        <v>2025</v>
      </c>
      <c r="D149" s="6" t="s">
        <v>622</v>
      </c>
      <c r="E149" s="11">
        <v>10181526659</v>
      </c>
      <c r="F149" s="6" t="s">
        <v>623</v>
      </c>
      <c r="G149" s="6" t="s">
        <v>624</v>
      </c>
      <c r="H149" s="26">
        <v>18152665</v>
      </c>
      <c r="I149" s="26"/>
      <c r="J149" s="6" t="s">
        <v>1244</v>
      </c>
      <c r="K149" s="7">
        <v>45722</v>
      </c>
      <c r="L149" s="11">
        <v>3</v>
      </c>
      <c r="M149" s="7">
        <f t="shared" si="20"/>
        <v>46817</v>
      </c>
      <c r="N149" s="13">
        <f t="shared" ca="1" si="21"/>
        <v>598</v>
      </c>
      <c r="O149" s="11" t="str">
        <f t="shared" ca="1" si="22"/>
        <v>VIGENTE</v>
      </c>
      <c r="P149" s="6" t="str">
        <f t="shared" si="23"/>
        <v>10181526659 ASOCIACION DE COMERCIANTES DEL MERCADO CENTRAL DE CAJAMARCA JONY WILLIAMS TAMAYO RIOS 18152665 0046-2025 ADMINISTRACIÓN Y COMERCIO</v>
      </c>
      <c r="Q149" s="18"/>
    </row>
    <row r="150" spans="1:17" s="9" customFormat="1" ht="27.6" customHeight="1">
      <c r="A150" s="6" t="s">
        <v>625</v>
      </c>
      <c r="B150" s="6" t="s">
        <v>626</v>
      </c>
      <c r="C150" s="11">
        <v>2025</v>
      </c>
      <c r="D150" s="6" t="s">
        <v>627</v>
      </c>
      <c r="E150" s="11">
        <v>20440292519</v>
      </c>
      <c r="F150" s="6" t="s">
        <v>628</v>
      </c>
      <c r="G150" s="6" t="s">
        <v>629</v>
      </c>
      <c r="H150" s="26">
        <v>76965107</v>
      </c>
      <c r="I150" s="26"/>
      <c r="J150" s="6" t="s">
        <v>1245</v>
      </c>
      <c r="K150" s="7">
        <v>45783</v>
      </c>
      <c r="L150" s="11">
        <v>3</v>
      </c>
      <c r="M150" s="7">
        <f t="shared" si="20"/>
        <v>46878</v>
      </c>
      <c r="N150" s="13">
        <f t="shared" ca="1" si="21"/>
        <v>659</v>
      </c>
      <c r="O150" s="11" t="str">
        <f t="shared" ca="1" si="22"/>
        <v>VIGENTE</v>
      </c>
      <c r="P150" s="6" t="str">
        <f t="shared" si="23"/>
        <v>20440292519 ASOCIACION EDUCATIVA ADVENTISTA NOR PACIFICO CHRISTIAN ALBERTO SARAVIA CUEVA 76965107 0048-2025 COMPUTACIÓN E INFORMÁTICA</v>
      </c>
      <c r="Q150" s="18"/>
    </row>
    <row r="151" spans="1:17" s="9" customFormat="1" ht="27.6" customHeight="1">
      <c r="A151" s="14" t="s">
        <v>630</v>
      </c>
      <c r="B151" s="14" t="s">
        <v>631</v>
      </c>
      <c r="C151" s="16">
        <v>2025</v>
      </c>
      <c r="D151" s="14" t="s">
        <v>632</v>
      </c>
      <c r="E151" s="16">
        <v>20612806188</v>
      </c>
      <c r="F151" s="14" t="s">
        <v>633</v>
      </c>
      <c r="G151" s="14" t="s">
        <v>634</v>
      </c>
      <c r="H151" s="27">
        <v>41674533</v>
      </c>
      <c r="I151" s="27"/>
      <c r="J151" s="14" t="s">
        <v>487</v>
      </c>
      <c r="K151" s="15">
        <v>45814</v>
      </c>
      <c r="L151" s="16">
        <v>3</v>
      </c>
      <c r="M151" s="15">
        <f t="shared" si="20"/>
        <v>46909</v>
      </c>
      <c r="N151" s="17">
        <f t="shared" ca="1" si="21"/>
        <v>690</v>
      </c>
      <c r="O151" s="16" t="str">
        <f t="shared" ca="1" si="22"/>
        <v>VIGENTE</v>
      </c>
      <c r="P151" s="14" t="str">
        <f t="shared" si="23"/>
        <v>20612806188 BARBER SHOP EL PROTAGONISTA JOSE GERMAN CUSQUISIBAN CARMONA 41674533 0050-2025 ESTILISMO</v>
      </c>
      <c r="Q151" s="21"/>
    </row>
    <row r="152" spans="1:17" s="9" customFormat="1" ht="27.6" customHeight="1">
      <c r="A152" s="6" t="s">
        <v>635</v>
      </c>
      <c r="B152" s="6" t="s">
        <v>636</v>
      </c>
      <c r="C152" s="11">
        <v>2025</v>
      </c>
      <c r="D152" s="6" t="s">
        <v>637</v>
      </c>
      <c r="E152" s="11">
        <v>10467693820</v>
      </c>
      <c r="F152" s="6" t="s">
        <v>638</v>
      </c>
      <c r="G152" s="6" t="s">
        <v>639</v>
      </c>
      <c r="H152" s="26">
        <v>60218509</v>
      </c>
      <c r="I152" s="26"/>
      <c r="J152" s="6" t="s">
        <v>487</v>
      </c>
      <c r="K152" s="7">
        <v>45814</v>
      </c>
      <c r="L152" s="11">
        <v>3</v>
      </c>
      <c r="M152" s="7">
        <f t="shared" si="20"/>
        <v>46909</v>
      </c>
      <c r="N152" s="13">
        <f t="shared" ca="1" si="21"/>
        <v>690</v>
      </c>
      <c r="O152" s="11" t="str">
        <f t="shared" ca="1" si="22"/>
        <v>VIGENTE</v>
      </c>
      <c r="P152" s="6" t="str">
        <f t="shared" si="23"/>
        <v>10467693820 ALIS SALON &amp;SPA ANABEL JULITZER VALDIVIA LLANOS 60218509 0051-2025 ESTILISMO</v>
      </c>
      <c r="Q152" s="18"/>
    </row>
    <row r="153" spans="1:17" s="9" customFormat="1" ht="27.6" customHeight="1">
      <c r="A153" s="6" t="s">
        <v>640</v>
      </c>
      <c r="B153" s="6" t="s">
        <v>641</v>
      </c>
      <c r="C153" s="11">
        <v>2025</v>
      </c>
      <c r="D153" s="6" t="s">
        <v>642</v>
      </c>
      <c r="E153" s="11">
        <v>20612925357</v>
      </c>
      <c r="F153" s="6" t="s">
        <v>643</v>
      </c>
      <c r="G153" s="6" t="s">
        <v>644</v>
      </c>
      <c r="H153" s="26">
        <v>46824211</v>
      </c>
      <c r="I153" s="26"/>
      <c r="J153" s="6" t="s">
        <v>487</v>
      </c>
      <c r="K153" s="7">
        <v>45814</v>
      </c>
      <c r="L153" s="11">
        <v>3</v>
      </c>
      <c r="M153" s="7">
        <f t="shared" si="20"/>
        <v>46909</v>
      </c>
      <c r="N153" s="13">
        <f t="shared" ca="1" si="21"/>
        <v>690</v>
      </c>
      <c r="O153" s="11" t="str">
        <f t="shared" ca="1" si="22"/>
        <v>VIGENTE</v>
      </c>
      <c r="P153" s="6" t="str">
        <f t="shared" si="23"/>
        <v>20612925357 AURA SALON &amp;SPA CARMEN ROSA CONTRERAS CABEZAS 46824211 0052-2025 ESTILISMO</v>
      </c>
      <c r="Q153" s="18"/>
    </row>
    <row r="154" spans="1:17" s="9" customFormat="1" ht="27.6" customHeight="1">
      <c r="A154" s="6" t="s">
        <v>645</v>
      </c>
      <c r="B154" s="6" t="s">
        <v>646</v>
      </c>
      <c r="C154" s="11">
        <v>2025</v>
      </c>
      <c r="D154" s="6" t="s">
        <v>647</v>
      </c>
      <c r="E154" s="11">
        <v>433002</v>
      </c>
      <c r="F154" s="6" t="s">
        <v>648</v>
      </c>
      <c r="G154" s="6" t="s">
        <v>649</v>
      </c>
      <c r="H154" s="26">
        <v>27556015</v>
      </c>
      <c r="I154" s="26"/>
      <c r="J154" s="6" t="s">
        <v>1245</v>
      </c>
      <c r="K154" s="7">
        <v>45814</v>
      </c>
      <c r="L154" s="11">
        <v>3</v>
      </c>
      <c r="M154" s="7">
        <f t="shared" si="20"/>
        <v>46909</v>
      </c>
      <c r="N154" s="13">
        <f t="shared" ca="1" si="21"/>
        <v>690</v>
      </c>
      <c r="O154" s="11" t="str">
        <f t="shared" ca="1" si="22"/>
        <v>VIGENTE</v>
      </c>
      <c r="P154" s="6" t="str">
        <f t="shared" si="23"/>
        <v>433002 INSTITUCION I.E N°82028 NELSON WILDER PEREZ LEIVA 27556015 0053-2025 COMPUTACIÓN E INFORMÁTICA</v>
      </c>
      <c r="Q154" s="18"/>
    </row>
    <row r="155" spans="1:17" s="9" customFormat="1" ht="27.6" customHeight="1">
      <c r="A155" s="14" t="s">
        <v>650</v>
      </c>
      <c r="B155" s="14" t="s">
        <v>651</v>
      </c>
      <c r="C155" s="16">
        <v>2025</v>
      </c>
      <c r="D155" s="14" t="s">
        <v>652</v>
      </c>
      <c r="E155" s="16">
        <v>10473720898</v>
      </c>
      <c r="F155" s="14" t="s">
        <v>653</v>
      </c>
      <c r="G155" s="14" t="s">
        <v>654</v>
      </c>
      <c r="H155" s="27">
        <v>47372089</v>
      </c>
      <c r="I155" s="27"/>
      <c r="J155" s="14" t="s">
        <v>466</v>
      </c>
      <c r="K155" s="15">
        <v>45814</v>
      </c>
      <c r="L155" s="16">
        <v>3</v>
      </c>
      <c r="M155" s="15">
        <f t="shared" si="20"/>
        <v>46909</v>
      </c>
      <c r="N155" s="17">
        <f t="shared" ca="1" si="21"/>
        <v>690</v>
      </c>
      <c r="O155" s="16" t="str">
        <f t="shared" ca="1" si="22"/>
        <v>VIGENTE</v>
      </c>
      <c r="P155" s="14" t="str">
        <f t="shared" si="23"/>
        <v>10473720898 RESTAURANT LA ZARZAS JAIME GAMBOA COTRINA 47372089 0055-2025 COCINA</v>
      </c>
      <c r="Q155" s="21"/>
    </row>
    <row r="156" spans="1:17" s="9" customFormat="1" ht="27.6" customHeight="1">
      <c r="A156" s="6" t="s">
        <v>51</v>
      </c>
      <c r="B156" s="6" t="s">
        <v>1275</v>
      </c>
      <c r="C156" s="11">
        <v>2024</v>
      </c>
      <c r="D156" s="6" t="s">
        <v>55</v>
      </c>
      <c r="E156" s="11">
        <v>20605225153</v>
      </c>
      <c r="F156" s="6" t="s">
        <v>56</v>
      </c>
      <c r="G156" s="6" t="s">
        <v>57</v>
      </c>
      <c r="H156" s="26">
        <v>45007068</v>
      </c>
      <c r="I156" s="26"/>
      <c r="J156" s="6" t="s">
        <v>613</v>
      </c>
      <c r="K156" s="7">
        <v>45421</v>
      </c>
      <c r="L156" s="11">
        <v>3</v>
      </c>
      <c r="M156" s="7">
        <f t="shared" si="20"/>
        <v>46515</v>
      </c>
      <c r="N156" s="13">
        <f t="shared" ca="1" si="21"/>
        <v>296</v>
      </c>
      <c r="O156" s="11" t="str">
        <f t="shared" ca="1" si="22"/>
        <v>VIGENTE</v>
      </c>
      <c r="P156" s="6" t="str">
        <f t="shared" si="23"/>
        <v>20605225153 BABY HOME "VALENTINAS" DANA LOBATO DIAZ 45007068 0003-2024 SERVICIOS SOCIALES Y DE SALUD</v>
      </c>
      <c r="Q156" s="18"/>
    </row>
    <row r="157" spans="1:17" s="9" customFormat="1" ht="27.6" customHeight="1">
      <c r="A157" s="6" t="s">
        <v>66</v>
      </c>
      <c r="B157" s="23" t="s">
        <v>1385</v>
      </c>
      <c r="C157" s="11">
        <v>2024</v>
      </c>
      <c r="D157" s="6" t="s">
        <v>67</v>
      </c>
      <c r="E157" s="11">
        <v>10496827650</v>
      </c>
      <c r="F157" s="6" t="s">
        <v>68</v>
      </c>
      <c r="G157" s="6" t="s">
        <v>69</v>
      </c>
      <c r="H157" s="26">
        <v>49682765</v>
      </c>
      <c r="I157" s="26"/>
      <c r="J157" s="6" t="s">
        <v>487</v>
      </c>
      <c r="K157" s="7">
        <v>45448</v>
      </c>
      <c r="L157" s="11">
        <v>3</v>
      </c>
      <c r="M157" s="7">
        <f t="shared" si="20"/>
        <v>46542</v>
      </c>
      <c r="N157" s="13">
        <f t="shared" ca="1" si="21"/>
        <v>323</v>
      </c>
      <c r="O157" s="11" t="str">
        <f t="shared" ca="1" si="22"/>
        <v>VIGENTE</v>
      </c>
      <c r="P157" s="6" t="str">
        <f t="shared" si="23"/>
        <v>10496827650 JACKY SALON &amp; SPA ASENCIO DE LA CRUZ JACKELINE 49682765 0011-2024 ESTILISMO</v>
      </c>
      <c r="Q157" s="18"/>
    </row>
    <row r="158" spans="1:17" s="9" customFormat="1" ht="27.6" customHeight="1">
      <c r="A158" s="6" t="s">
        <v>662</v>
      </c>
      <c r="B158" s="6" t="s">
        <v>663</v>
      </c>
      <c r="C158" s="11">
        <v>2025</v>
      </c>
      <c r="D158" s="6" t="s">
        <v>664</v>
      </c>
      <c r="E158" s="11">
        <v>20603513895</v>
      </c>
      <c r="F158" s="6" t="s">
        <v>665</v>
      </c>
      <c r="G158" s="6" t="s">
        <v>666</v>
      </c>
      <c r="H158" s="26">
        <v>45949461</v>
      </c>
      <c r="I158" s="26"/>
      <c r="J158" s="6" t="s">
        <v>508</v>
      </c>
      <c r="K158" s="7">
        <v>45936</v>
      </c>
      <c r="L158" s="11">
        <v>3</v>
      </c>
      <c r="M158" s="7">
        <f t="shared" si="20"/>
        <v>47031</v>
      </c>
      <c r="N158" s="13">
        <f t="shared" ca="1" si="21"/>
        <v>812</v>
      </c>
      <c r="O158" s="11" t="str">
        <f t="shared" ca="1" si="22"/>
        <v>VIGENTE</v>
      </c>
      <c r="P158" s="6" t="str">
        <f t="shared" si="23"/>
        <v>20603513895 SOLUCIONES MULTIPLES I&amp;W SRL WILDER NICOLAS CHAVEZ SALDAÑAS 45949461 0058-2025 TOPOGRAFÍA</v>
      </c>
      <c r="Q158" s="18"/>
    </row>
    <row r="159" spans="1:17" s="9" customFormat="1" ht="27.6" customHeight="1">
      <c r="A159" s="6" t="s">
        <v>667</v>
      </c>
      <c r="B159" s="6" t="s">
        <v>668</v>
      </c>
      <c r="C159" s="11">
        <v>2025</v>
      </c>
      <c r="D159" s="6" t="s">
        <v>669</v>
      </c>
      <c r="E159" s="11">
        <v>20601664853</v>
      </c>
      <c r="F159" s="6" t="s">
        <v>670</v>
      </c>
      <c r="G159" s="6" t="s">
        <v>671</v>
      </c>
      <c r="H159" s="26">
        <v>45898991</v>
      </c>
      <c r="I159" s="26"/>
      <c r="J159" s="6" t="s">
        <v>508</v>
      </c>
      <c r="K159" s="35">
        <v>45818</v>
      </c>
      <c r="L159" s="11">
        <v>3</v>
      </c>
      <c r="M159" s="7">
        <f t="shared" si="20"/>
        <v>46913</v>
      </c>
      <c r="N159" s="13">
        <f t="shared" ca="1" si="21"/>
        <v>694</v>
      </c>
      <c r="O159" s="11" t="str">
        <f t="shared" ca="1" si="22"/>
        <v>VIGENTE</v>
      </c>
      <c r="P159" s="6" t="str">
        <f t="shared" si="23"/>
        <v>20601664853 T´AJSA CONSULTORIA CONSTRUCCIONES Y SERVICIOS GENERALES SAC HUVER RONALD NUÑEZ EDQUEN 45898991 0060-2025 TOPOGRAFÍA</v>
      </c>
      <c r="Q159" s="18"/>
    </row>
    <row r="160" spans="1:17" s="9" customFormat="1" ht="27.6" customHeight="1">
      <c r="A160" s="6" t="s">
        <v>672</v>
      </c>
      <c r="B160" s="6" t="s">
        <v>673</v>
      </c>
      <c r="C160" s="11">
        <v>2025</v>
      </c>
      <c r="D160" s="6" t="s">
        <v>674</v>
      </c>
      <c r="E160" s="11">
        <v>20131366885</v>
      </c>
      <c r="F160" s="6" t="s">
        <v>675</v>
      </c>
      <c r="G160" s="6" t="s">
        <v>676</v>
      </c>
      <c r="H160" s="26">
        <v>42550552</v>
      </c>
      <c r="I160" s="26"/>
      <c r="J160" s="6" t="s">
        <v>1244</v>
      </c>
      <c r="K160" s="7">
        <v>45936</v>
      </c>
      <c r="L160" s="11">
        <v>3</v>
      </c>
      <c r="M160" s="7">
        <f t="shared" si="20"/>
        <v>47031</v>
      </c>
      <c r="N160" s="13">
        <f t="shared" ca="1" si="21"/>
        <v>812</v>
      </c>
      <c r="O160" s="11" t="str">
        <f t="shared" ca="1" si="22"/>
        <v>VIGENTE</v>
      </c>
      <c r="P160" s="6" t="str">
        <f t="shared" si="23"/>
        <v>20131366885 COMPANIA DE BOMBEROS CAJAMARCA CAPITAN PEDROJOAO ESCALANTE POMA 42550552 0061-2025 ADMINISTRACIÓN Y COMERCIO</v>
      </c>
      <c r="Q160" s="18"/>
    </row>
    <row r="161" spans="1:17" s="9" customFormat="1" ht="27.6" customHeight="1">
      <c r="A161" s="6" t="s">
        <v>677</v>
      </c>
      <c r="B161" s="6" t="s">
        <v>678</v>
      </c>
      <c r="C161" s="11">
        <v>2025</v>
      </c>
      <c r="D161" s="6" t="s">
        <v>679</v>
      </c>
      <c r="E161" s="11" t="s">
        <v>680</v>
      </c>
      <c r="F161" s="6" t="s">
        <v>681</v>
      </c>
      <c r="G161" s="6" t="s">
        <v>682</v>
      </c>
      <c r="H161" s="26">
        <v>26698642</v>
      </c>
      <c r="I161" s="26"/>
      <c r="J161" s="6" t="s">
        <v>1245</v>
      </c>
      <c r="K161" s="7">
        <v>45906</v>
      </c>
      <c r="L161" s="11">
        <v>3</v>
      </c>
      <c r="M161" s="7">
        <f t="shared" si="20"/>
        <v>47001</v>
      </c>
      <c r="N161" s="13">
        <f t="shared" ca="1" si="21"/>
        <v>782</v>
      </c>
      <c r="O161" s="11" t="str">
        <f t="shared" ca="1" si="22"/>
        <v>VIGENTE</v>
      </c>
      <c r="P161" s="6" t="str">
        <f t="shared" si="23"/>
        <v>0390309 I.E. JUAN XXIII RENAN DINO PEREZ ESTRADA 26698642 0062-2025 COMPUTACIÓN E INFORMÁTICA</v>
      </c>
      <c r="Q161" s="18"/>
    </row>
    <row r="162" spans="1:17" s="9" customFormat="1" ht="27.6" customHeight="1">
      <c r="A162" s="6" t="s">
        <v>683</v>
      </c>
      <c r="B162" s="6" t="s">
        <v>684</v>
      </c>
      <c r="C162" s="11">
        <v>2025</v>
      </c>
      <c r="D162" s="6" t="s">
        <v>685</v>
      </c>
      <c r="E162" s="11">
        <v>20453802946</v>
      </c>
      <c r="F162" s="6" t="s">
        <v>686</v>
      </c>
      <c r="G162" s="6" t="s">
        <v>687</v>
      </c>
      <c r="H162" s="26">
        <v>26700641</v>
      </c>
      <c r="I162" s="26"/>
      <c r="J162" s="6" t="s">
        <v>1248</v>
      </c>
      <c r="K162" s="7">
        <v>45967</v>
      </c>
      <c r="L162" s="11">
        <v>3</v>
      </c>
      <c r="M162" s="7">
        <f t="shared" si="20"/>
        <v>47062</v>
      </c>
      <c r="N162" s="13">
        <f t="shared" ca="1" si="21"/>
        <v>843</v>
      </c>
      <c r="O162" s="11" t="str">
        <f t="shared" ca="1" si="22"/>
        <v>VIGENTE</v>
      </c>
      <c r="P162" s="6" t="str">
        <f t="shared" si="23"/>
        <v>20453802946 NICANOR SERVICIOS GENERALES EIRL NORMA LILIANA QUISPE HUARIPATA 26700641 0066-2025 TEXTIL Y CONFECCIÓN</v>
      </c>
      <c r="Q162" s="18"/>
    </row>
    <row r="163" spans="1:17" s="9" customFormat="1" ht="27.6" customHeight="1">
      <c r="A163" s="6" t="s">
        <v>688</v>
      </c>
      <c r="B163" s="6" t="s">
        <v>689</v>
      </c>
      <c r="C163" s="11">
        <v>2025</v>
      </c>
      <c r="D163" s="6" t="s">
        <v>690</v>
      </c>
      <c r="E163" s="11">
        <v>20491555905</v>
      </c>
      <c r="F163" s="6" t="s">
        <v>691</v>
      </c>
      <c r="G163" s="6" t="s">
        <v>692</v>
      </c>
      <c r="H163" s="26">
        <v>26614872</v>
      </c>
      <c r="I163" s="26"/>
      <c r="J163" s="6" t="s">
        <v>1248</v>
      </c>
      <c r="K163" s="7">
        <v>45967</v>
      </c>
      <c r="L163" s="11">
        <v>3</v>
      </c>
      <c r="M163" s="7">
        <f t="shared" si="20"/>
        <v>47062</v>
      </c>
      <c r="N163" s="13">
        <f t="shared" ca="1" si="21"/>
        <v>843</v>
      </c>
      <c r="O163" s="11" t="str">
        <f t="shared" ca="1" si="22"/>
        <v>VIGENTE</v>
      </c>
      <c r="P163" s="6" t="str">
        <f t="shared" si="23"/>
        <v>20491555905 INVERSIONES IMPERIAL MARY YSABEL SANCHEZ LINARES 26614872 0067-2025 TEXTIL Y CONFECCIÓN</v>
      </c>
      <c r="Q163" s="18"/>
    </row>
    <row r="164" spans="1:17" s="9" customFormat="1" ht="27.6" customHeight="1">
      <c r="A164" s="6" t="s">
        <v>693</v>
      </c>
      <c r="B164" s="6" t="s">
        <v>694</v>
      </c>
      <c r="C164" s="11">
        <v>2025</v>
      </c>
      <c r="D164" s="6" t="s">
        <v>695</v>
      </c>
      <c r="E164" s="11">
        <v>10267241525</v>
      </c>
      <c r="F164" s="6" t="s">
        <v>696</v>
      </c>
      <c r="G164" s="6" t="s">
        <v>697</v>
      </c>
      <c r="H164" s="26">
        <v>76422026</v>
      </c>
      <c r="I164" s="26"/>
      <c r="J164" s="6" t="s">
        <v>1248</v>
      </c>
      <c r="K164" s="7">
        <v>45967</v>
      </c>
      <c r="L164" s="11">
        <v>3</v>
      </c>
      <c r="M164" s="7">
        <f t="shared" si="20"/>
        <v>47062</v>
      </c>
      <c r="N164" s="13">
        <f t="shared" ca="1" si="21"/>
        <v>843</v>
      </c>
      <c r="O164" s="11" t="str">
        <f t="shared" ca="1" si="22"/>
        <v>VIGENTE</v>
      </c>
      <c r="P164" s="6" t="str">
        <f t="shared" si="23"/>
        <v>10267241525 SASTRERIA Y CONFECCIONES RANCE ROLANDO GARCIA FRUCTUOSO 76422026 0068-2025 TEXTIL Y CONFECCIÓN</v>
      </c>
      <c r="Q164" s="18"/>
    </row>
    <row r="165" spans="1:17" s="9" customFormat="1" ht="27.6" customHeight="1">
      <c r="A165" s="6" t="s">
        <v>698</v>
      </c>
      <c r="B165" s="6" t="s">
        <v>699</v>
      </c>
      <c r="C165" s="11">
        <v>2025</v>
      </c>
      <c r="D165" s="6" t="s">
        <v>700</v>
      </c>
      <c r="E165" s="11">
        <v>20610842799</v>
      </c>
      <c r="F165" s="6" t="s">
        <v>701</v>
      </c>
      <c r="G165" s="6" t="s">
        <v>702</v>
      </c>
      <c r="H165" s="26">
        <v>76422026</v>
      </c>
      <c r="I165" s="26"/>
      <c r="J165" s="6" t="s">
        <v>508</v>
      </c>
      <c r="K165" s="7">
        <v>45967</v>
      </c>
      <c r="L165" s="11">
        <v>3</v>
      </c>
      <c r="M165" s="7">
        <f t="shared" si="20"/>
        <v>47062</v>
      </c>
      <c r="N165" s="13">
        <f t="shared" ca="1" si="21"/>
        <v>843</v>
      </c>
      <c r="O165" s="11" t="str">
        <f t="shared" ca="1" si="22"/>
        <v>VIGENTE</v>
      </c>
      <c r="P165" s="6" t="str">
        <f t="shared" si="23"/>
        <v>20610842799 FEDERLAN EIRL JUAN FERNANDO GUEVARA HUAPAYA 76422026 0069-2025 TOPOGRAFÍA</v>
      </c>
      <c r="Q165" s="18"/>
    </row>
    <row r="166" spans="1:17" s="9" customFormat="1" ht="27.6" customHeight="1">
      <c r="A166" s="6" t="s">
        <v>703</v>
      </c>
      <c r="B166" s="6" t="s">
        <v>704</v>
      </c>
      <c r="C166" s="11">
        <v>2025</v>
      </c>
      <c r="D166" s="6" t="s">
        <v>705</v>
      </c>
      <c r="E166" s="11">
        <v>20611830808</v>
      </c>
      <c r="F166" s="6" t="s">
        <v>706</v>
      </c>
      <c r="G166" s="6" t="s">
        <v>707</v>
      </c>
      <c r="H166" s="26">
        <v>43206514</v>
      </c>
      <c r="I166" s="26"/>
      <c r="J166" s="6" t="s">
        <v>1247</v>
      </c>
      <c r="K166" s="7" t="s">
        <v>708</v>
      </c>
      <c r="L166" s="11">
        <v>3</v>
      </c>
      <c r="M166" s="7">
        <f t="shared" ref="M166:M197" si="24">IF(OR(K166="",L166=""),"",DATE(YEAR(K166)+L166,MONTH(K166),DAY(K166))-1)</f>
        <v>46919</v>
      </c>
      <c r="N166" s="13">
        <f t="shared" ref="N166:N197" ca="1" si="25">IF(M166="","",M166-TODAY())</f>
        <v>700</v>
      </c>
      <c r="O166" s="11" t="str">
        <f t="shared" ref="O166:O177" ca="1" si="26">IF(M166="","SIN FECHA",IF(M166&lt;TODAY(),"VENCIDO",IF(M166-TODAY()&lt;=30,"POR VENCER","VIGENTE")))</f>
        <v>VIGENTE</v>
      </c>
      <c r="P166" s="6" t="str">
        <f t="shared" ref="P166:P177" si="27">UPPER(TRIM(E166&amp;" "&amp;D166&amp;" "&amp;G166&amp;" "&amp;H166&amp;" "&amp;I166&amp;" "&amp;B166&amp;" "&amp;J166))</f>
        <v>20611830808 INDUSTRIAL PANIFICADORA BENJAFRUTI ABANER TONY LLANOS CORTEGANA 43206514 0074-2025 PANIFICACIÓN INDUSTRIAL</v>
      </c>
      <c r="Q166" s="18"/>
    </row>
    <row r="167" spans="1:17" s="20" customFormat="1" ht="19.5" customHeight="1">
      <c r="A167" s="6" t="s">
        <v>709</v>
      </c>
      <c r="B167" s="6" t="s">
        <v>710</v>
      </c>
      <c r="C167" s="11">
        <v>2025</v>
      </c>
      <c r="D167" s="6" t="s">
        <v>711</v>
      </c>
      <c r="E167" s="11">
        <v>20605367993</v>
      </c>
      <c r="F167" s="6" t="s">
        <v>712</v>
      </c>
      <c r="G167" s="6" t="s">
        <v>713</v>
      </c>
      <c r="H167" s="26">
        <v>44491159</v>
      </c>
      <c r="I167" s="26"/>
      <c r="J167" s="6" t="s">
        <v>487</v>
      </c>
      <c r="K167" s="7" t="s">
        <v>708</v>
      </c>
      <c r="L167" s="11">
        <v>3</v>
      </c>
      <c r="M167" s="7">
        <f t="shared" si="24"/>
        <v>46919</v>
      </c>
      <c r="N167" s="13">
        <f t="shared" ca="1" si="25"/>
        <v>700</v>
      </c>
      <c r="O167" s="11" t="str">
        <f t="shared" ca="1" si="26"/>
        <v>VIGENTE</v>
      </c>
      <c r="P167" s="6" t="str">
        <f t="shared" si="27"/>
        <v>20605367993 YELKA ROSAS SALON Y SPA YELKA ORIANA ROSAS ANAYA 44491159 0075-2025 ESTILISMO</v>
      </c>
      <c r="Q167" s="19"/>
    </row>
    <row r="168" spans="1:17" s="9" customFormat="1" ht="27.75" customHeight="1">
      <c r="A168" s="6" t="s">
        <v>1038</v>
      </c>
      <c r="B168" s="6" t="s">
        <v>1039</v>
      </c>
      <c r="C168" s="11">
        <v>2026</v>
      </c>
      <c r="D168" s="6" t="s">
        <v>714</v>
      </c>
      <c r="E168" s="11" t="s">
        <v>715</v>
      </c>
      <c r="F168" s="6" t="s">
        <v>716</v>
      </c>
      <c r="G168" s="6" t="s">
        <v>717</v>
      </c>
      <c r="H168" s="26" t="s">
        <v>718</v>
      </c>
      <c r="I168" s="26">
        <v>968792473</v>
      </c>
      <c r="J168" s="6" t="s">
        <v>1245</v>
      </c>
      <c r="K168" s="7">
        <v>46134</v>
      </c>
      <c r="L168" s="11">
        <v>3</v>
      </c>
      <c r="M168" s="7">
        <f t="shared" si="24"/>
        <v>47229</v>
      </c>
      <c r="N168" s="13">
        <f t="shared" ca="1" si="25"/>
        <v>1010</v>
      </c>
      <c r="O168" s="11" t="str">
        <f t="shared" ca="1" si="26"/>
        <v>VIGENTE</v>
      </c>
      <c r="P168" s="6" t="str">
        <f t="shared" si="27"/>
        <v>0390591 I.E. EEMBLEMÁTICA "SAN RAMÓN" - CAJAMARCA SEGUNDO FRANCISCO BUSTAMANTE HOYOS 26684704 968792473 0001-2026 COMPUTACIÓN E INFORMÁTICA</v>
      </c>
      <c r="Q168" s="18" t="s">
        <v>1231</v>
      </c>
    </row>
    <row r="169" spans="1:17" s="9" customFormat="1" ht="27.75" customHeight="1">
      <c r="A169" s="6" t="s">
        <v>1040</v>
      </c>
      <c r="B169" s="6" t="s">
        <v>1127</v>
      </c>
      <c r="C169" s="11">
        <v>2026</v>
      </c>
      <c r="D169" s="6" t="s">
        <v>719</v>
      </c>
      <c r="E169" s="11" t="s">
        <v>720</v>
      </c>
      <c r="F169" s="6" t="s">
        <v>721</v>
      </c>
      <c r="G169" s="6" t="s">
        <v>722</v>
      </c>
      <c r="H169" s="26" t="s">
        <v>723</v>
      </c>
      <c r="I169" s="26">
        <v>968792473</v>
      </c>
      <c r="J169" s="6" t="s">
        <v>1244</v>
      </c>
      <c r="K169" s="7">
        <v>46135</v>
      </c>
      <c r="L169" s="11">
        <v>3</v>
      </c>
      <c r="M169" s="7">
        <f t="shared" si="24"/>
        <v>47230</v>
      </c>
      <c r="N169" s="13">
        <f t="shared" ca="1" si="25"/>
        <v>1011</v>
      </c>
      <c r="O169" s="11" t="str">
        <f t="shared" ca="1" si="26"/>
        <v>VIGENTE</v>
      </c>
      <c r="P169" s="6" t="str">
        <f t="shared" si="27"/>
        <v>20496163177 CENTRO DE PROMOCIÓN Y DESARROLLO DE LAS MICRO FINANZAS CPC CELESTINO OSWALDO CASTAÑEDA SILVA 26717980 968792473 0002-2026 ADMINISTRACIÓN Y COMERCIO</v>
      </c>
      <c r="Q169" s="18" t="s">
        <v>1231</v>
      </c>
    </row>
    <row r="170" spans="1:17" s="9" customFormat="1" ht="24.75" customHeight="1">
      <c r="A170" s="6" t="s">
        <v>1041</v>
      </c>
      <c r="B170" s="6" t="s">
        <v>1128</v>
      </c>
      <c r="C170" s="11">
        <v>2026</v>
      </c>
      <c r="D170" s="6" t="s">
        <v>724</v>
      </c>
      <c r="E170" s="11">
        <v>10438517168</v>
      </c>
      <c r="F170" s="6" t="s">
        <v>725</v>
      </c>
      <c r="G170" s="6" t="s">
        <v>726</v>
      </c>
      <c r="H170" s="26">
        <v>43851716</v>
      </c>
      <c r="I170" s="26">
        <v>976506495</v>
      </c>
      <c r="J170" s="6" t="s">
        <v>1248</v>
      </c>
      <c r="K170" s="7">
        <v>46135</v>
      </c>
      <c r="L170" s="11">
        <v>3</v>
      </c>
      <c r="M170" s="7">
        <f t="shared" si="24"/>
        <v>47230</v>
      </c>
      <c r="N170" s="13">
        <f t="shared" ca="1" si="25"/>
        <v>1011</v>
      </c>
      <c r="O170" s="11" t="str">
        <f t="shared" ca="1" si="26"/>
        <v>VIGENTE</v>
      </c>
      <c r="P170" s="6" t="str">
        <f t="shared" si="27"/>
        <v>10438517168 CONFECCIONES SANGAY LILIANA RAMOS SANGAY 43851716 976506495 0003-2026 TEXTIL Y CONFECCIÓN</v>
      </c>
      <c r="Q170" s="18" t="s">
        <v>1231</v>
      </c>
    </row>
    <row r="171" spans="1:17" s="9" customFormat="1" ht="26.25" customHeight="1">
      <c r="A171" s="6" t="s">
        <v>1042</v>
      </c>
      <c r="B171" s="6" t="s">
        <v>1129</v>
      </c>
      <c r="C171" s="11">
        <v>2026</v>
      </c>
      <c r="D171" s="6" t="s">
        <v>727</v>
      </c>
      <c r="E171" s="11">
        <v>10459347297</v>
      </c>
      <c r="F171" s="6" t="s">
        <v>728</v>
      </c>
      <c r="G171" s="6" t="s">
        <v>729</v>
      </c>
      <c r="H171" s="26">
        <v>45934729</v>
      </c>
      <c r="I171" s="26">
        <v>918168585</v>
      </c>
      <c r="J171" s="6" t="s">
        <v>730</v>
      </c>
      <c r="K171" s="7">
        <v>46135</v>
      </c>
      <c r="L171" s="11">
        <v>3</v>
      </c>
      <c r="M171" s="7">
        <f t="shared" si="24"/>
        <v>47230</v>
      </c>
      <c r="N171" s="13">
        <f t="shared" ca="1" si="25"/>
        <v>1011</v>
      </c>
      <c r="O171" s="11" t="str">
        <f t="shared" ca="1" si="26"/>
        <v>VIGENTE</v>
      </c>
      <c r="P171" s="6" t="str">
        <f t="shared" si="27"/>
        <v>10459347297 NOLBERT BEAUTY STUDIO NOLBERT YACOPAICO VASQUEZ 45934729 918168585 0004-2026 COMP/ADMI/ESTILISMO</v>
      </c>
      <c r="Q171" s="18" t="s">
        <v>1231</v>
      </c>
    </row>
    <row r="172" spans="1:17" s="9" customFormat="1" ht="20.25" customHeight="1">
      <c r="A172" s="6" t="s">
        <v>1043</v>
      </c>
      <c r="B172" s="6" t="s">
        <v>1130</v>
      </c>
      <c r="C172" s="11">
        <v>2026</v>
      </c>
      <c r="D172" s="6" t="s">
        <v>731</v>
      </c>
      <c r="E172" s="11">
        <v>10732190410</v>
      </c>
      <c r="F172" s="6" t="s">
        <v>732</v>
      </c>
      <c r="G172" s="6" t="s">
        <v>733</v>
      </c>
      <c r="H172" s="26">
        <v>73219041</v>
      </c>
      <c r="I172" s="26">
        <v>985080711</v>
      </c>
      <c r="J172" s="6" t="s">
        <v>487</v>
      </c>
      <c r="K172" s="7">
        <v>46136</v>
      </c>
      <c r="L172" s="11">
        <v>3</v>
      </c>
      <c r="M172" s="7">
        <f t="shared" si="24"/>
        <v>47231</v>
      </c>
      <c r="N172" s="13">
        <f t="shared" ca="1" si="25"/>
        <v>1012</v>
      </c>
      <c r="O172" s="11" t="str">
        <f t="shared" ca="1" si="26"/>
        <v>VIGENTE</v>
      </c>
      <c r="P172" s="6" t="str">
        <f t="shared" si="27"/>
        <v>10732190410 SALÓN &amp; SPA ANY ANA MARITA SALAZAR ROJAS 73219041 985080711 0005-2026 ESTILISMO</v>
      </c>
      <c r="Q172" s="18" t="s">
        <v>1231</v>
      </c>
    </row>
    <row r="173" spans="1:17" s="9" customFormat="1" ht="27" customHeight="1">
      <c r="A173" s="6" t="s">
        <v>1044</v>
      </c>
      <c r="B173" s="6" t="s">
        <v>1132</v>
      </c>
      <c r="C173" s="11">
        <v>2026</v>
      </c>
      <c r="D173" s="6" t="s">
        <v>734</v>
      </c>
      <c r="E173" s="11">
        <v>10280708521</v>
      </c>
      <c r="F173" s="6" t="s">
        <v>735</v>
      </c>
      <c r="G173" s="6" t="s">
        <v>736</v>
      </c>
      <c r="H173" s="26">
        <v>28070852</v>
      </c>
      <c r="I173" s="26">
        <v>976910350</v>
      </c>
      <c r="J173" s="6" t="s">
        <v>487</v>
      </c>
      <c r="K173" s="7">
        <v>46139</v>
      </c>
      <c r="L173" s="11">
        <v>3</v>
      </c>
      <c r="M173" s="7">
        <f t="shared" si="24"/>
        <v>47234</v>
      </c>
      <c r="N173" s="13">
        <f t="shared" ca="1" si="25"/>
        <v>1015</v>
      </c>
      <c r="O173" s="11" t="str">
        <f t="shared" ca="1" si="26"/>
        <v>VIGENTE</v>
      </c>
      <c r="P173" s="6" t="str">
        <f t="shared" si="27"/>
        <v>10280708521 ESTILISTAS PROFESIONALES EL ZARCO GLADYS ORFILA QUISPE OTINIANO 28070852 976910350 0006-2026 ESTILISMO</v>
      </c>
      <c r="Q173" s="18"/>
    </row>
    <row r="174" spans="1:17" s="9" customFormat="1" ht="27.6" customHeight="1">
      <c r="A174" s="6" t="s">
        <v>1045</v>
      </c>
      <c r="B174" s="6" t="s">
        <v>1131</v>
      </c>
      <c r="C174" s="11">
        <v>2026</v>
      </c>
      <c r="D174" s="6" t="s">
        <v>737</v>
      </c>
      <c r="E174" s="11">
        <v>10471237227</v>
      </c>
      <c r="F174" s="6" t="s">
        <v>738</v>
      </c>
      <c r="G174" s="6" t="s">
        <v>739</v>
      </c>
      <c r="H174" s="26">
        <v>47123722</v>
      </c>
      <c r="I174" s="26">
        <v>912380208</v>
      </c>
      <c r="J174" s="6" t="s">
        <v>487</v>
      </c>
      <c r="K174" s="7">
        <v>46139</v>
      </c>
      <c r="L174" s="11">
        <v>3</v>
      </c>
      <c r="M174" s="7">
        <f t="shared" si="24"/>
        <v>47234</v>
      </c>
      <c r="N174" s="13">
        <f t="shared" ca="1" si="25"/>
        <v>1015</v>
      </c>
      <c r="O174" s="11" t="str">
        <f t="shared" ca="1" si="26"/>
        <v>VIGENTE</v>
      </c>
      <c r="P174" s="6" t="str">
        <f t="shared" si="27"/>
        <v>10471237227 MILAGROS SALON &amp; SPA QUELIDA MILAGROS COLLADO LEIVA 47123722 912380208 0007-2026 ESTILISMO</v>
      </c>
      <c r="Q174" s="18"/>
    </row>
    <row r="175" spans="1:17" s="9" customFormat="1" ht="27.6" customHeight="1">
      <c r="A175" s="6" t="s">
        <v>1046</v>
      </c>
      <c r="B175" s="6" t="s">
        <v>1133</v>
      </c>
      <c r="C175" s="11">
        <v>2026</v>
      </c>
      <c r="D175" s="6" t="s">
        <v>740</v>
      </c>
      <c r="E175" s="11">
        <v>10445129696</v>
      </c>
      <c r="F175" s="6" t="s">
        <v>741</v>
      </c>
      <c r="G175" s="6" t="s">
        <v>742</v>
      </c>
      <c r="H175" s="28">
        <v>44512969</v>
      </c>
      <c r="I175" s="26">
        <v>922748790</v>
      </c>
      <c r="J175" s="6" t="s">
        <v>487</v>
      </c>
      <c r="K175" s="7">
        <v>46139</v>
      </c>
      <c r="L175" s="11">
        <v>3</v>
      </c>
      <c r="M175" s="7">
        <f t="shared" si="24"/>
        <v>47234</v>
      </c>
      <c r="N175" s="13">
        <f t="shared" ca="1" si="25"/>
        <v>1015</v>
      </c>
      <c r="O175" s="11" t="str">
        <f t="shared" ca="1" si="26"/>
        <v>VIGENTE</v>
      </c>
      <c r="P175" s="6" t="str">
        <f t="shared" si="27"/>
        <v>10445129696 ERIKA JULISSA-SALON ERIKA JULISSA GARCÍA MENDOZA 44512969 922748790 0008-2026 ESTILISMO</v>
      </c>
      <c r="Q175" s="18" t="s">
        <v>1252</v>
      </c>
    </row>
    <row r="176" spans="1:17" s="9" customFormat="1" ht="27.6" customHeight="1">
      <c r="A176" s="6" t="s">
        <v>1047</v>
      </c>
      <c r="B176" s="6" t="s">
        <v>1134</v>
      </c>
      <c r="C176" s="11">
        <v>2026</v>
      </c>
      <c r="D176" s="6" t="s">
        <v>743</v>
      </c>
      <c r="E176" s="11">
        <v>20570857976</v>
      </c>
      <c r="F176" s="6" t="s">
        <v>744</v>
      </c>
      <c r="G176" s="6" t="s">
        <v>745</v>
      </c>
      <c r="H176" s="26">
        <v>26601530</v>
      </c>
      <c r="I176" s="26">
        <v>978360653</v>
      </c>
      <c r="J176" s="6" t="s">
        <v>1247</v>
      </c>
      <c r="K176" s="7">
        <v>46146</v>
      </c>
      <c r="L176" s="11">
        <v>3</v>
      </c>
      <c r="M176" s="7">
        <f t="shared" si="24"/>
        <v>47241</v>
      </c>
      <c r="N176" s="13">
        <f t="shared" ca="1" si="25"/>
        <v>1022</v>
      </c>
      <c r="O176" s="11" t="str">
        <f t="shared" ca="1" si="26"/>
        <v>VIGENTE</v>
      </c>
      <c r="P176" s="6" t="str">
        <f t="shared" si="27"/>
        <v>20570857976 INVERSIONES MANOSALVA SRL JORGE LUIS MANOSALVA MEJÍA 26601530 978360653 0009-2026 PANIFICACIÓN INDUSTRIAL</v>
      </c>
      <c r="Q176" s="18"/>
    </row>
    <row r="177" spans="1:17" s="9" customFormat="1" ht="27.6" customHeight="1">
      <c r="A177" s="6" t="s">
        <v>1048</v>
      </c>
      <c r="B177" s="6" t="s">
        <v>1135</v>
      </c>
      <c r="C177" s="11">
        <v>2026</v>
      </c>
      <c r="D177" s="6" t="s">
        <v>746</v>
      </c>
      <c r="E177" s="11">
        <v>10182180152</v>
      </c>
      <c r="F177" s="6" t="s">
        <v>747</v>
      </c>
      <c r="G177" s="6" t="s">
        <v>748</v>
      </c>
      <c r="H177" s="26">
        <v>18218015</v>
      </c>
      <c r="I177" s="26">
        <v>960649147</v>
      </c>
      <c r="J177" s="6" t="s">
        <v>487</v>
      </c>
      <c r="K177" s="7">
        <v>46146</v>
      </c>
      <c r="L177" s="11">
        <v>3</v>
      </c>
      <c r="M177" s="7">
        <f t="shared" si="24"/>
        <v>47241</v>
      </c>
      <c r="N177" s="13">
        <f t="shared" ca="1" si="25"/>
        <v>1022</v>
      </c>
      <c r="O177" s="11" t="str">
        <f t="shared" ca="1" si="26"/>
        <v>VIGENTE</v>
      </c>
      <c r="P177" s="6" t="str">
        <f t="shared" si="27"/>
        <v>10182180152 ADARA SALÓN SPA ELBA EDELMIRA QUIROZ PASTOR 18218015 960649147 0010-2026 ESTILISMO</v>
      </c>
      <c r="Q177" s="18"/>
    </row>
    <row r="178" spans="1:17" s="9" customFormat="1" ht="27" customHeight="1">
      <c r="A178" s="6" t="s">
        <v>1049</v>
      </c>
      <c r="B178" s="6" t="s">
        <v>1136</v>
      </c>
      <c r="C178" s="11">
        <v>2026</v>
      </c>
      <c r="D178" s="6" t="s">
        <v>749</v>
      </c>
      <c r="E178" s="11">
        <v>10081568486</v>
      </c>
      <c r="F178" s="6" t="s">
        <v>750</v>
      </c>
      <c r="G178" s="6" t="s">
        <v>751</v>
      </c>
      <c r="H178" s="26">
        <v>8156848</v>
      </c>
      <c r="I178" s="26">
        <v>990054509</v>
      </c>
      <c r="J178" s="6" t="s">
        <v>1247</v>
      </c>
      <c r="K178" s="7">
        <v>46147</v>
      </c>
      <c r="L178" s="11">
        <v>3</v>
      </c>
      <c r="M178" s="7">
        <v>47242</v>
      </c>
      <c r="N178" s="13">
        <v>1023</v>
      </c>
      <c r="O178" s="11" t="s">
        <v>29</v>
      </c>
      <c r="P178" s="6" t="s">
        <v>1217</v>
      </c>
      <c r="Q178" s="18"/>
    </row>
    <row r="179" spans="1:17" s="9" customFormat="1" ht="27.6" customHeight="1">
      <c r="A179" s="6" t="s">
        <v>1050</v>
      </c>
      <c r="B179" s="6" t="s">
        <v>1137</v>
      </c>
      <c r="C179" s="11">
        <v>2026</v>
      </c>
      <c r="D179" s="6" t="s">
        <v>752</v>
      </c>
      <c r="E179" s="11">
        <v>20615731863</v>
      </c>
      <c r="F179" s="6" t="s">
        <v>753</v>
      </c>
      <c r="G179" s="6" t="s">
        <v>754</v>
      </c>
      <c r="H179" s="26">
        <v>72954393</v>
      </c>
      <c r="I179" s="26">
        <v>914387208</v>
      </c>
      <c r="J179" s="6" t="s">
        <v>487</v>
      </c>
      <c r="K179" s="7">
        <v>46148</v>
      </c>
      <c r="L179" s="11">
        <v>3</v>
      </c>
      <c r="M179" s="7">
        <v>47243</v>
      </c>
      <c r="N179" s="13">
        <v>1024</v>
      </c>
      <c r="O179" s="11" t="s">
        <v>29</v>
      </c>
      <c r="P179" s="6" t="s">
        <v>1218</v>
      </c>
      <c r="Q179" s="18"/>
    </row>
    <row r="180" spans="1:17" s="9" customFormat="1" ht="27.6" customHeight="1">
      <c r="A180" s="6" t="s">
        <v>1051</v>
      </c>
      <c r="B180" s="6" t="s">
        <v>1138</v>
      </c>
      <c r="C180" s="11">
        <v>2026</v>
      </c>
      <c r="D180" s="6" t="s">
        <v>755</v>
      </c>
      <c r="E180" s="11">
        <v>20611537132</v>
      </c>
      <c r="F180" s="6" t="s">
        <v>756</v>
      </c>
      <c r="G180" s="6" t="s">
        <v>757</v>
      </c>
      <c r="H180" s="26">
        <v>74656636</v>
      </c>
      <c r="I180" s="26">
        <v>965472346</v>
      </c>
      <c r="J180" s="6" t="s">
        <v>1244</v>
      </c>
      <c r="K180" s="7">
        <v>46156</v>
      </c>
      <c r="L180" s="11">
        <v>3</v>
      </c>
      <c r="M180" s="7">
        <f t="shared" ref="M180:M211" si="28">IF(OR(K180="",L180=""),"",DATE(YEAR(K180)+L180,MONTH(K180),DAY(K180))-1)</f>
        <v>47251</v>
      </c>
      <c r="N180" s="13">
        <f t="shared" ref="N180:N211" ca="1" si="29">IF(M180="","",M180-TODAY())</f>
        <v>1032</v>
      </c>
      <c r="O180" s="11" t="str">
        <f t="shared" ref="O180:O211" ca="1" si="30">IF(M180="","SIN FECHA",IF(M180&lt;TODAY(),"VENCIDO",IF(M180-TODAY()&lt;=30,"POR VENCER","VIGENTE")))</f>
        <v>VIGENTE</v>
      </c>
      <c r="P180" s="6" t="str">
        <f t="shared" ref="P180:P211" si="31">UPPER(TRIM(E180&amp;" "&amp;D180&amp;" "&amp;G180&amp;" "&amp;H180&amp;" "&amp;I180&amp;" "&amp;B180&amp;" "&amp;J180))</f>
        <v>20611537132 BURO SERVICIOS COMERCIALES S.A.C YULEYSI URIARTE GONZALES 74656636 965472346 0014-2026 ADMINISTRACIÓN Y COMERCIO</v>
      </c>
      <c r="Q180" s="18" t="s">
        <v>1232</v>
      </c>
    </row>
    <row r="181" spans="1:17" s="9" customFormat="1" ht="27.6" customHeight="1">
      <c r="A181" s="6" t="s">
        <v>1052</v>
      </c>
      <c r="B181" s="6" t="s">
        <v>1139</v>
      </c>
      <c r="C181" s="11">
        <v>2026</v>
      </c>
      <c r="D181" s="6" t="s">
        <v>758</v>
      </c>
      <c r="E181" s="11">
        <v>10711399173</v>
      </c>
      <c r="F181" s="6" t="s">
        <v>759</v>
      </c>
      <c r="G181" s="6" t="s">
        <v>760</v>
      </c>
      <c r="H181" s="26">
        <v>71139917</v>
      </c>
      <c r="I181" s="26">
        <v>942581904</v>
      </c>
      <c r="J181" s="6" t="s">
        <v>487</v>
      </c>
      <c r="K181" s="7">
        <v>46153</v>
      </c>
      <c r="L181" s="11">
        <v>3</v>
      </c>
      <c r="M181" s="7">
        <f t="shared" si="28"/>
        <v>47248</v>
      </c>
      <c r="N181" s="13">
        <f t="shared" ca="1" si="29"/>
        <v>1029</v>
      </c>
      <c r="O181" s="11" t="str">
        <f t="shared" ca="1" si="30"/>
        <v>VIGENTE</v>
      </c>
      <c r="P181" s="6" t="str">
        <f t="shared" si="31"/>
        <v>10711399173 DIANA SALÓN &amp; SPA DIANA NATALY AGUILAR CARRIÓN 71139917 942581904 0015-2026 ESTILISMO</v>
      </c>
      <c r="Q181" s="18"/>
    </row>
    <row r="182" spans="1:17" s="9" customFormat="1" ht="27.6" customHeight="1">
      <c r="A182" s="6" t="s">
        <v>1053</v>
      </c>
      <c r="B182" s="6" t="s">
        <v>1140</v>
      </c>
      <c r="C182" s="11">
        <v>2026</v>
      </c>
      <c r="D182" s="6" t="s">
        <v>761</v>
      </c>
      <c r="E182" s="11">
        <v>10266365336</v>
      </c>
      <c r="F182" s="6" t="s">
        <v>762</v>
      </c>
      <c r="G182" s="6" t="s">
        <v>763</v>
      </c>
      <c r="H182" s="26">
        <v>26636533</v>
      </c>
      <c r="I182" s="26">
        <v>921317108</v>
      </c>
      <c r="J182" s="6" t="s">
        <v>1245</v>
      </c>
      <c r="K182" s="7">
        <v>46154</v>
      </c>
      <c r="L182" s="11">
        <v>3</v>
      </c>
      <c r="M182" s="7">
        <f t="shared" si="28"/>
        <v>47249</v>
      </c>
      <c r="N182" s="13">
        <f t="shared" ca="1" si="29"/>
        <v>1030</v>
      </c>
      <c r="O182" s="11" t="str">
        <f t="shared" ca="1" si="30"/>
        <v>VIGENTE</v>
      </c>
      <c r="P182" s="6" t="str">
        <f t="shared" si="31"/>
        <v>10266365336 SERVICIOS GENERALES CHUQUIMANGO MANUEL DE LA CRUZ CHUQUIMANGO PORTAL 26636533 921317108 0016-2026 COMPUTACIÓN E INFORMÁTICA</v>
      </c>
      <c r="Q182" s="18"/>
    </row>
    <row r="183" spans="1:17" s="9" customFormat="1" ht="27.6" customHeight="1">
      <c r="A183" s="6" t="s">
        <v>1054</v>
      </c>
      <c r="B183" s="6" t="s">
        <v>1141</v>
      </c>
      <c r="C183" s="11">
        <v>2026</v>
      </c>
      <c r="D183" s="6" t="s">
        <v>764</v>
      </c>
      <c r="E183" s="11">
        <v>10267317785</v>
      </c>
      <c r="F183" s="6" t="s">
        <v>765</v>
      </c>
      <c r="G183" s="6" t="s">
        <v>766</v>
      </c>
      <c r="H183" s="26">
        <v>26731778</v>
      </c>
      <c r="I183" s="26">
        <v>976304275</v>
      </c>
      <c r="J183" s="6" t="s">
        <v>1248</v>
      </c>
      <c r="K183" s="7">
        <v>46162</v>
      </c>
      <c r="L183" s="11">
        <v>3</v>
      </c>
      <c r="M183" s="7">
        <f t="shared" si="28"/>
        <v>47257</v>
      </c>
      <c r="N183" s="13">
        <f t="shared" ca="1" si="29"/>
        <v>1038</v>
      </c>
      <c r="O183" s="11" t="str">
        <f t="shared" ca="1" si="30"/>
        <v>VIGENTE</v>
      </c>
      <c r="P183" s="6" t="str">
        <f t="shared" si="31"/>
        <v>10267317785 CREACIONES JHENY JHENY ELIZABETH GUTIÉRREZ YOPLA 26731778 976304275 0017-2026 TEXTIL Y CONFECCIÓN</v>
      </c>
      <c r="Q183" s="18"/>
    </row>
    <row r="184" spans="1:17" s="9" customFormat="1" ht="27.6" customHeight="1">
      <c r="A184" s="6" t="s">
        <v>1055</v>
      </c>
      <c r="B184" s="6" t="s">
        <v>1142</v>
      </c>
      <c r="C184" s="11">
        <v>2026</v>
      </c>
      <c r="D184" s="6" t="s">
        <v>767</v>
      </c>
      <c r="E184" s="11">
        <v>20614151812</v>
      </c>
      <c r="F184" s="6" t="s">
        <v>768</v>
      </c>
      <c r="G184" s="6" t="s">
        <v>769</v>
      </c>
      <c r="H184" s="26">
        <v>73183001</v>
      </c>
      <c r="I184" s="26">
        <v>941395049</v>
      </c>
      <c r="J184" s="6" t="s">
        <v>508</v>
      </c>
      <c r="K184" s="7">
        <v>46168</v>
      </c>
      <c r="L184" s="11">
        <v>3</v>
      </c>
      <c r="M184" s="7">
        <f t="shared" si="28"/>
        <v>47263</v>
      </c>
      <c r="N184" s="13">
        <f t="shared" ca="1" si="29"/>
        <v>1044</v>
      </c>
      <c r="O184" s="11" t="str">
        <f t="shared" ca="1" si="30"/>
        <v>VIGENTE</v>
      </c>
      <c r="P184" s="6" t="str">
        <f t="shared" si="31"/>
        <v>20614151812 CORPORACIÓN NARRO SERVICIOS GENERALES SRL CLAUDIA LISBETH MORENO NARRO 73183001 941395049 0019-2026 TOPOGRAFÍA</v>
      </c>
      <c r="Q184" s="18"/>
    </row>
    <row r="185" spans="1:17" s="9" customFormat="1" ht="27.6" customHeight="1">
      <c r="A185" s="6" t="s">
        <v>1056</v>
      </c>
      <c r="B185" s="6" t="s">
        <v>1143</v>
      </c>
      <c r="C185" s="11">
        <v>2026</v>
      </c>
      <c r="D185" s="6" t="s">
        <v>770</v>
      </c>
      <c r="E185" s="11">
        <v>20570867858</v>
      </c>
      <c r="F185" s="6" t="s">
        <v>771</v>
      </c>
      <c r="G185" s="6" t="s">
        <v>772</v>
      </c>
      <c r="H185" s="26">
        <v>26615094</v>
      </c>
      <c r="I185" s="26">
        <v>940044877</v>
      </c>
      <c r="J185" s="6" t="s">
        <v>1247</v>
      </c>
      <c r="K185" s="7">
        <v>46169</v>
      </c>
      <c r="L185" s="11">
        <v>3</v>
      </c>
      <c r="M185" s="7">
        <f t="shared" si="28"/>
        <v>47264</v>
      </c>
      <c r="N185" s="13">
        <f t="shared" ca="1" si="29"/>
        <v>1045</v>
      </c>
      <c r="O185" s="11" t="str">
        <f t="shared" ca="1" si="30"/>
        <v>VIGENTE</v>
      </c>
      <c r="P185" s="6" t="str">
        <f t="shared" si="31"/>
        <v>20570867858 INDUSTRIA PANIFICADORA SAN LUIS S.A.C VALDEZ CALUA PEDRO 26615094 940044877 0021-2026 PANIFICACIÓN INDUSTRIAL</v>
      </c>
      <c r="Q185" s="18"/>
    </row>
    <row r="186" spans="1:17" s="22" customFormat="1" ht="27" customHeight="1">
      <c r="A186" s="6" t="s">
        <v>1056</v>
      </c>
      <c r="B186" s="6" t="s">
        <v>1143</v>
      </c>
      <c r="C186" s="11">
        <v>2026</v>
      </c>
      <c r="D186" s="6" t="s">
        <v>776</v>
      </c>
      <c r="E186" s="11">
        <v>20601642116</v>
      </c>
      <c r="F186" s="6" t="s">
        <v>777</v>
      </c>
      <c r="G186" s="6" t="s">
        <v>778</v>
      </c>
      <c r="H186" s="26">
        <v>7913902</v>
      </c>
      <c r="I186" s="26">
        <v>920151840</v>
      </c>
      <c r="J186" s="6" t="s">
        <v>1245</v>
      </c>
      <c r="K186" s="7">
        <v>46188</v>
      </c>
      <c r="L186" s="11">
        <v>3</v>
      </c>
      <c r="M186" s="7">
        <f t="shared" si="28"/>
        <v>47283</v>
      </c>
      <c r="N186" s="13">
        <f t="shared" ca="1" si="29"/>
        <v>1064</v>
      </c>
      <c r="O186" s="11" t="str">
        <f t="shared" ca="1" si="30"/>
        <v>VIGENTE</v>
      </c>
      <c r="P186" s="6" t="str">
        <f t="shared" si="31"/>
        <v>20601642116 INSTITUCION EDUCATIVA PUBLICA EMBLEMATICA "SANTA TERESITA" MARGARITA ELENA CASTILLA FELIX 7913902 920151840 0021-2026 COMPUTACIÓN E INFORMÁTICA</v>
      </c>
      <c r="Q186" s="18"/>
    </row>
    <row r="187" spans="1:17" s="9" customFormat="1" ht="27" customHeight="1">
      <c r="A187" s="6" t="s">
        <v>1057</v>
      </c>
      <c r="B187" s="6" t="s">
        <v>1144</v>
      </c>
      <c r="C187" s="11">
        <v>2026</v>
      </c>
      <c r="D187" s="6" t="s">
        <v>773</v>
      </c>
      <c r="E187" s="11">
        <v>20615791025</v>
      </c>
      <c r="F187" s="6" t="s">
        <v>774</v>
      </c>
      <c r="G187" s="6" t="s">
        <v>775</v>
      </c>
      <c r="H187" s="26">
        <v>71254948</v>
      </c>
      <c r="I187" s="26">
        <v>994844627</v>
      </c>
      <c r="J187" s="6" t="s">
        <v>1245</v>
      </c>
      <c r="K187" s="7">
        <v>46188</v>
      </c>
      <c r="L187" s="11">
        <v>3</v>
      </c>
      <c r="M187" s="7">
        <f t="shared" si="28"/>
        <v>47283</v>
      </c>
      <c r="N187" s="13">
        <f t="shared" ca="1" si="29"/>
        <v>1064</v>
      </c>
      <c r="O187" s="11" t="str">
        <f t="shared" ca="1" si="30"/>
        <v>VIGENTE</v>
      </c>
      <c r="P187" s="6" t="str">
        <f t="shared" si="31"/>
        <v>20615791025 LOPAC INFOSECURE S.A.C. JHON ALBERTO GARCIA ACOSTA 71254948 994844627 0022-2026 COMPUTACIÓN E INFORMÁTICA</v>
      </c>
      <c r="Q187" s="18"/>
    </row>
    <row r="188" spans="1:17" s="22" customFormat="1" ht="27.6" customHeight="1">
      <c r="A188" s="6" t="s">
        <v>1058</v>
      </c>
      <c r="B188" s="6" t="s">
        <v>1145</v>
      </c>
      <c r="C188" s="11">
        <v>2026</v>
      </c>
      <c r="D188" s="6" t="s">
        <v>782</v>
      </c>
      <c r="E188" s="11">
        <v>20611986450</v>
      </c>
      <c r="F188" s="6" t="s">
        <v>783</v>
      </c>
      <c r="G188" s="6" t="s">
        <v>607</v>
      </c>
      <c r="H188" s="26">
        <v>10473944</v>
      </c>
      <c r="I188" s="26" t="s">
        <v>1032</v>
      </c>
      <c r="J188" s="6" t="s">
        <v>466</v>
      </c>
      <c r="K188" s="7">
        <v>46188</v>
      </c>
      <c r="L188" s="11">
        <v>3</v>
      </c>
      <c r="M188" s="7">
        <f t="shared" si="28"/>
        <v>47283</v>
      </c>
      <c r="N188" s="13">
        <f t="shared" ca="1" si="29"/>
        <v>1064</v>
      </c>
      <c r="O188" s="11" t="str">
        <f t="shared" ca="1" si="30"/>
        <v>VIGENTE</v>
      </c>
      <c r="P188" s="6" t="str">
        <f t="shared" si="31"/>
        <v>20611986450 HOTEL CASA HACIENDA CAMPO SANTA ROSA LUIS FERNANDO CASTAÑEDA VIZCONDE 10473944 999 026 301 0023-2026 COCINA</v>
      </c>
      <c r="Q188" s="18"/>
    </row>
    <row r="189" spans="1:17" s="9" customFormat="1" ht="27.6" customHeight="1">
      <c r="A189" s="6" t="s">
        <v>1059</v>
      </c>
      <c r="B189" s="6" t="s">
        <v>1146</v>
      </c>
      <c r="C189" s="11">
        <v>2026</v>
      </c>
      <c r="D189" s="6" t="s">
        <v>779</v>
      </c>
      <c r="E189" s="11">
        <v>20495634851</v>
      </c>
      <c r="F189" s="6" t="s">
        <v>780</v>
      </c>
      <c r="G189" s="6" t="s">
        <v>781</v>
      </c>
      <c r="H189" s="26">
        <v>42266358</v>
      </c>
      <c r="I189" s="26">
        <v>982866628</v>
      </c>
      <c r="J189" s="6" t="s">
        <v>1245</v>
      </c>
      <c r="K189" s="7">
        <v>46188</v>
      </c>
      <c r="L189" s="11">
        <v>3</v>
      </c>
      <c r="M189" s="7">
        <f t="shared" si="28"/>
        <v>47283</v>
      </c>
      <c r="N189" s="13">
        <f t="shared" ca="1" si="29"/>
        <v>1064</v>
      </c>
      <c r="O189" s="11" t="str">
        <f t="shared" ca="1" si="30"/>
        <v>VIGENTE</v>
      </c>
      <c r="P189" s="6" t="str">
        <f t="shared" si="31"/>
        <v>20495634851 ALCICAFREP.VIP TOURS IN GOD WE TRUST - SRL EDELMIRA LORENA VIGO INTOR 42266358 982866628 0024-2026 COMPUTACIÓN E INFORMÁTICA</v>
      </c>
      <c r="Q189" s="18"/>
    </row>
    <row r="190" spans="1:17" s="22" customFormat="1" ht="27" customHeight="1">
      <c r="A190" s="6" t="s">
        <v>1060</v>
      </c>
      <c r="B190" s="6" t="s">
        <v>1147</v>
      </c>
      <c r="C190" s="11">
        <v>2026</v>
      </c>
      <c r="D190" s="6" t="s">
        <v>788</v>
      </c>
      <c r="E190" s="11">
        <v>20610913297</v>
      </c>
      <c r="F190" s="6" t="s">
        <v>789</v>
      </c>
      <c r="G190" s="6" t="s">
        <v>790</v>
      </c>
      <c r="H190" s="26">
        <v>44265716</v>
      </c>
      <c r="I190" s="26">
        <v>973843270</v>
      </c>
      <c r="J190" s="6" t="s">
        <v>1244</v>
      </c>
      <c r="K190" s="7">
        <v>46156</v>
      </c>
      <c r="L190" s="11">
        <v>3</v>
      </c>
      <c r="M190" s="7">
        <f t="shared" si="28"/>
        <v>47251</v>
      </c>
      <c r="N190" s="13">
        <f t="shared" ca="1" si="29"/>
        <v>1032</v>
      </c>
      <c r="O190" s="11" t="str">
        <f t="shared" ca="1" si="30"/>
        <v>VIGENTE</v>
      </c>
      <c r="P190" s="6" t="str">
        <f t="shared" si="31"/>
        <v>20610913297 EXPANSIÓN SALES MANAGEMENT SAC MARIA DEL PILAR HERRAN PÉREZ 44265716 973843270 0025-2026 ADMINISTRACIÓN Y COMERCIO</v>
      </c>
      <c r="Q190" s="18" t="s">
        <v>1233</v>
      </c>
    </row>
    <row r="191" spans="1:17" s="9" customFormat="1" ht="27" customHeight="1">
      <c r="A191" s="6" t="s">
        <v>1061</v>
      </c>
      <c r="B191" s="6" t="s">
        <v>1148</v>
      </c>
      <c r="C191" s="11">
        <v>2026</v>
      </c>
      <c r="D191" s="6" t="s">
        <v>784</v>
      </c>
      <c r="E191" s="11" t="s">
        <v>785</v>
      </c>
      <c r="F191" s="6" t="s">
        <v>786</v>
      </c>
      <c r="G191" s="6" t="s">
        <v>787</v>
      </c>
      <c r="H191" s="26">
        <v>45284377</v>
      </c>
      <c r="I191" s="26"/>
      <c r="J191" s="6" t="s">
        <v>1245</v>
      </c>
      <c r="K191" s="7">
        <v>46188</v>
      </c>
      <c r="L191" s="11">
        <v>3</v>
      </c>
      <c r="M191" s="7">
        <f t="shared" si="28"/>
        <v>47283</v>
      </c>
      <c r="N191" s="13">
        <f t="shared" ca="1" si="29"/>
        <v>1064</v>
      </c>
      <c r="O191" s="11" t="str">
        <f t="shared" ca="1" si="30"/>
        <v>VIGENTE</v>
      </c>
      <c r="P191" s="6" t="str">
        <f t="shared" si="31"/>
        <v>20601108781 LAM SOLUTIONS SRL LUIS ALEJOS MORALES 45284377 0026-2026 COMPUTACIÓN E INFORMÁTICA</v>
      </c>
      <c r="Q191" s="18"/>
    </row>
    <row r="192" spans="1:17" s="22" customFormat="1" ht="27" customHeight="1">
      <c r="A192" s="6" t="s">
        <v>1062</v>
      </c>
      <c r="B192" s="6" t="s">
        <v>1149</v>
      </c>
      <c r="C192" s="11">
        <v>2026</v>
      </c>
      <c r="D192" s="6" t="s">
        <v>794</v>
      </c>
      <c r="E192" s="11">
        <v>20453807267</v>
      </c>
      <c r="F192" s="6" t="s">
        <v>795</v>
      </c>
      <c r="G192" s="6" t="s">
        <v>796</v>
      </c>
      <c r="H192" s="26">
        <v>26730616</v>
      </c>
      <c r="I192" s="26"/>
      <c r="J192" s="6" t="s">
        <v>1244</v>
      </c>
      <c r="K192" s="7"/>
      <c r="L192" s="11">
        <v>3</v>
      </c>
      <c r="M192" s="7" t="str">
        <f t="shared" si="28"/>
        <v/>
      </c>
      <c r="N192" s="13" t="str">
        <f t="shared" ca="1" si="29"/>
        <v/>
      </c>
      <c r="O192" s="11" t="str">
        <f t="shared" ca="1" si="30"/>
        <v>SIN FECHA</v>
      </c>
      <c r="P192" s="6" t="str">
        <f t="shared" si="31"/>
        <v>20453807267 SERVICIO DE ADMINISTRACION TRIBUTARIA “CAJAMARCA” ABOG. CRISTIAN PAUL PAJARES RABANAL 26730616 0027-2026 ADMINISTRACIÓN Y COMERCIO</v>
      </c>
      <c r="Q192" s="18"/>
    </row>
    <row r="193" spans="1:17" s="9" customFormat="1" ht="27.6" customHeight="1">
      <c r="A193" s="6" t="s">
        <v>66</v>
      </c>
      <c r="B193" s="6" t="s">
        <v>1385</v>
      </c>
      <c r="C193" s="11">
        <v>2024</v>
      </c>
      <c r="D193" s="6" t="s">
        <v>70</v>
      </c>
      <c r="E193" s="11">
        <v>20495615040</v>
      </c>
      <c r="F193" s="6" t="s">
        <v>71</v>
      </c>
      <c r="G193" s="6" t="s">
        <v>72</v>
      </c>
      <c r="H193" s="26">
        <v>26704005</v>
      </c>
      <c r="I193" s="26"/>
      <c r="J193" s="6" t="s">
        <v>1245</v>
      </c>
      <c r="K193" s="7">
        <v>45439</v>
      </c>
      <c r="L193" s="11">
        <v>3</v>
      </c>
      <c r="M193" s="7">
        <f t="shared" si="28"/>
        <v>46533</v>
      </c>
      <c r="N193" s="13">
        <f t="shared" ca="1" si="29"/>
        <v>314</v>
      </c>
      <c r="O193" s="11" t="str">
        <f t="shared" ca="1" si="30"/>
        <v>VIGENTE</v>
      </c>
      <c r="P193" s="6" t="str">
        <f t="shared" si="31"/>
        <v>20495615040 INGENIEROS EN TELECONICACIONES ELECTRONICOS Y SISTEMAS S.A.C VICTOR WILSON FLORES PEREZ 26704005 0011-2024 COMPUTACIÓN E INFORMÁTICA</v>
      </c>
      <c r="Q193" s="18"/>
    </row>
    <row r="194" spans="1:17" s="9" customFormat="1" ht="27.6" customHeight="1">
      <c r="A194" s="6" t="s">
        <v>140</v>
      </c>
      <c r="B194" s="6" t="s">
        <v>1254</v>
      </c>
      <c r="C194" s="11">
        <v>2024</v>
      </c>
      <c r="D194" s="6" t="s">
        <v>141</v>
      </c>
      <c r="E194" s="11">
        <v>20570675355</v>
      </c>
      <c r="F194" s="6" t="s">
        <v>142</v>
      </c>
      <c r="G194" s="6" t="s">
        <v>143</v>
      </c>
      <c r="H194" s="26">
        <v>57067535</v>
      </c>
      <c r="I194" s="26"/>
      <c r="J194" s="6" t="s">
        <v>1245</v>
      </c>
      <c r="K194" s="7">
        <v>45464</v>
      </c>
      <c r="L194" s="11">
        <v>3</v>
      </c>
      <c r="M194" s="7">
        <f t="shared" si="28"/>
        <v>46558</v>
      </c>
      <c r="N194" s="13">
        <f t="shared" ca="1" si="29"/>
        <v>339</v>
      </c>
      <c r="O194" s="11" t="str">
        <f t="shared" ca="1" si="30"/>
        <v>VIGENTE</v>
      </c>
      <c r="P194" s="6" t="str">
        <f t="shared" si="31"/>
        <v>20570675355 LA EMPRESA OXFORD LENGUAGE CENTER DANTE RODRIGUEZ LESCANO 57067535 0044-2024 COMPUTACIÓN E INFORMÁTICA</v>
      </c>
      <c r="Q194" s="18"/>
    </row>
    <row r="195" spans="1:17" s="9" customFormat="1" ht="27.6" customHeight="1">
      <c r="A195" s="6" t="s">
        <v>1064</v>
      </c>
      <c r="B195" s="6" t="s">
        <v>1151</v>
      </c>
      <c r="C195" s="11">
        <v>2026</v>
      </c>
      <c r="D195" s="6" t="s">
        <v>800</v>
      </c>
      <c r="E195" s="11">
        <v>1026731764</v>
      </c>
      <c r="F195" s="6" t="s">
        <v>801</v>
      </c>
      <c r="G195" s="6" t="s">
        <v>802</v>
      </c>
      <c r="H195" s="26">
        <v>26731764</v>
      </c>
      <c r="I195" s="26">
        <v>976414104</v>
      </c>
      <c r="J195" s="6" t="s">
        <v>487</v>
      </c>
      <c r="K195" s="7">
        <v>46174</v>
      </c>
      <c r="L195" s="11">
        <v>3</v>
      </c>
      <c r="M195" s="7">
        <f t="shared" si="28"/>
        <v>47269</v>
      </c>
      <c r="N195" s="13">
        <f t="shared" ca="1" si="29"/>
        <v>1050</v>
      </c>
      <c r="O195" s="11" t="str">
        <f t="shared" ca="1" si="30"/>
        <v>VIGENTE</v>
      </c>
      <c r="P195" s="6" t="str">
        <f t="shared" si="31"/>
        <v>1026731764 ADELITA SALÓN BARBERIA SPA ADELITA CHUGNAS PAICO 26731764 976414104 0031-2026 ESTILISMO</v>
      </c>
      <c r="Q195" s="18"/>
    </row>
    <row r="196" spans="1:17" s="22" customFormat="1" ht="27" customHeight="1">
      <c r="A196" s="6" t="s">
        <v>1064</v>
      </c>
      <c r="B196" s="6" t="s">
        <v>1151</v>
      </c>
      <c r="C196" s="11">
        <v>2026</v>
      </c>
      <c r="D196" s="6" t="s">
        <v>806</v>
      </c>
      <c r="E196" s="11">
        <v>20606424761</v>
      </c>
      <c r="F196" s="6" t="s">
        <v>807</v>
      </c>
      <c r="G196" s="6" t="s">
        <v>808</v>
      </c>
      <c r="H196" s="26" t="s">
        <v>809</v>
      </c>
      <c r="I196" s="26" t="s">
        <v>1034</v>
      </c>
      <c r="J196" s="6" t="s">
        <v>487</v>
      </c>
      <c r="K196" s="7">
        <v>46175</v>
      </c>
      <c r="L196" s="11">
        <v>3</v>
      </c>
      <c r="M196" s="7">
        <f t="shared" si="28"/>
        <v>47270</v>
      </c>
      <c r="N196" s="13">
        <f t="shared" ca="1" si="29"/>
        <v>1051</v>
      </c>
      <c r="O196" s="11" t="str">
        <f t="shared" ca="1" si="30"/>
        <v>VIGENTE</v>
      </c>
      <c r="P196" s="6" t="str">
        <f t="shared" si="31"/>
        <v>20606424761 ALEJANDRO SPA ALEJANDRO SILVA OLIVOS 08470502 976 593 741 0031-2026 ESTILISMO</v>
      </c>
      <c r="Q196" s="18" t="s">
        <v>1231</v>
      </c>
    </row>
    <row r="197" spans="1:17" s="9" customFormat="1" ht="27" customHeight="1">
      <c r="A197" s="6" t="s">
        <v>655</v>
      </c>
      <c r="B197" s="6" t="s">
        <v>656</v>
      </c>
      <c r="C197" s="11">
        <v>2025</v>
      </c>
      <c r="D197" s="6" t="s">
        <v>659</v>
      </c>
      <c r="E197" s="11">
        <v>20611176300</v>
      </c>
      <c r="F197" s="6" t="s">
        <v>660</v>
      </c>
      <c r="G197" s="6" t="s">
        <v>661</v>
      </c>
      <c r="H197" s="26">
        <v>45882208</v>
      </c>
      <c r="I197" s="26"/>
      <c r="J197" s="6" t="s">
        <v>508</v>
      </c>
      <c r="K197" s="7">
        <v>45936</v>
      </c>
      <c r="L197" s="11">
        <v>3</v>
      </c>
      <c r="M197" s="7">
        <f t="shared" si="28"/>
        <v>47031</v>
      </c>
      <c r="N197" s="13">
        <f t="shared" ca="1" si="29"/>
        <v>812</v>
      </c>
      <c r="O197" s="11" t="str">
        <f t="shared" ca="1" si="30"/>
        <v>VIGENTE</v>
      </c>
      <c r="P197" s="6" t="str">
        <f t="shared" si="31"/>
        <v>20611176300 VICUNA CONSULTORIA Y CONSTRUCCIONES SRL MARCO RUBIO GAYOSO 45882208 0056-2025 TOPOGRAFÍA</v>
      </c>
      <c r="Q197" s="18"/>
    </row>
    <row r="198" spans="1:17" s="9" customFormat="1" ht="27.6" customHeight="1">
      <c r="A198" s="6" t="s">
        <v>1063</v>
      </c>
      <c r="B198" s="6" t="s">
        <v>1150</v>
      </c>
      <c r="C198" s="11">
        <v>2026</v>
      </c>
      <c r="D198" s="6" t="s">
        <v>791</v>
      </c>
      <c r="E198" s="11">
        <v>20608060686</v>
      </c>
      <c r="F198" s="6" t="s">
        <v>792</v>
      </c>
      <c r="G198" s="6" t="s">
        <v>793</v>
      </c>
      <c r="H198" s="26">
        <v>46301622</v>
      </c>
      <c r="I198" s="26" t="s">
        <v>1033</v>
      </c>
      <c r="J198" s="6" t="s">
        <v>1244</v>
      </c>
      <c r="K198" s="7">
        <v>46156</v>
      </c>
      <c r="L198" s="11">
        <v>3</v>
      </c>
      <c r="M198" s="7">
        <f t="shared" si="28"/>
        <v>47251</v>
      </c>
      <c r="N198" s="13">
        <f t="shared" ca="1" si="29"/>
        <v>1032</v>
      </c>
      <c r="O198" s="11" t="str">
        <f t="shared" ca="1" si="30"/>
        <v>VIGENTE</v>
      </c>
      <c r="P198" s="6" t="str">
        <f t="shared" si="31"/>
        <v>20608060686 EVOLUCIÓN PERÚ TELECOMUNICACIONES S. A. C. ABEL ABAD PULCE 46301622 924 500 816 0028-2026 ADMINISTRACIÓN Y COMERCIO</v>
      </c>
      <c r="Q198" s="18"/>
    </row>
    <row r="199" spans="1:17" s="9" customFormat="1" ht="27" customHeight="1">
      <c r="A199" s="6" t="s">
        <v>1066</v>
      </c>
      <c r="B199" s="6" t="s">
        <v>1153</v>
      </c>
      <c r="C199" s="11">
        <v>2026</v>
      </c>
      <c r="D199" s="6" t="s">
        <v>813</v>
      </c>
      <c r="E199" s="11">
        <v>20612164607</v>
      </c>
      <c r="F199" s="6" t="s">
        <v>814</v>
      </c>
      <c r="G199" s="6" t="s">
        <v>815</v>
      </c>
      <c r="H199" s="26">
        <v>71973914</v>
      </c>
      <c r="I199" s="26">
        <v>914791144</v>
      </c>
      <c r="J199" s="6" t="s">
        <v>1245</v>
      </c>
      <c r="K199" s="7">
        <v>46175</v>
      </c>
      <c r="L199" s="11">
        <v>3</v>
      </c>
      <c r="M199" s="7">
        <f t="shared" si="28"/>
        <v>47270</v>
      </c>
      <c r="N199" s="13">
        <f t="shared" ca="1" si="29"/>
        <v>1051</v>
      </c>
      <c r="O199" s="11" t="str">
        <f t="shared" ca="1" si="30"/>
        <v>VIGENTE</v>
      </c>
      <c r="P199" s="6" t="str">
        <f t="shared" si="31"/>
        <v>20612164607 AMERICAN CELL E.I.R.L ALEX ADRIANO LOZANO URIARTE 71973914 914791144 0035-2026 COMPUTACIÓN E INFORMÁTICA</v>
      </c>
      <c r="Q199" s="18"/>
    </row>
    <row r="200" spans="1:17" s="22" customFormat="1" ht="27.6" customHeight="1">
      <c r="A200" s="6" t="s">
        <v>1066</v>
      </c>
      <c r="B200" s="6" t="s">
        <v>1153</v>
      </c>
      <c r="C200" s="11">
        <v>2026</v>
      </c>
      <c r="D200" s="6" t="s">
        <v>819</v>
      </c>
      <c r="E200" s="11">
        <v>10178901791</v>
      </c>
      <c r="F200" s="6" t="s">
        <v>820</v>
      </c>
      <c r="G200" s="6" t="s">
        <v>821</v>
      </c>
      <c r="H200" s="26">
        <v>17890179</v>
      </c>
      <c r="I200" s="26">
        <v>976362892</v>
      </c>
      <c r="J200" s="6" t="s">
        <v>1247</v>
      </c>
      <c r="K200" s="7">
        <v>46175</v>
      </c>
      <c r="L200" s="11">
        <v>3</v>
      </c>
      <c r="M200" s="7">
        <f t="shared" si="28"/>
        <v>47270</v>
      </c>
      <c r="N200" s="13">
        <f t="shared" ca="1" si="29"/>
        <v>1051</v>
      </c>
      <c r="O200" s="11" t="str">
        <f t="shared" ca="1" si="30"/>
        <v>VIGENTE</v>
      </c>
      <c r="P200" s="6" t="str">
        <f t="shared" si="31"/>
        <v>10178901791 ANTOJITOS MERCEDES CARIDAD PAREDES GARCÍA 17890179 976362892 0035-2026 PANIFICACIÓN INDUSTRIAL</v>
      </c>
      <c r="Q200" s="18" t="s">
        <v>1231</v>
      </c>
    </row>
    <row r="201" spans="1:17" s="9" customFormat="1" ht="27.6" customHeight="1">
      <c r="A201" s="6" t="s">
        <v>1067</v>
      </c>
      <c r="B201" s="6" t="s">
        <v>1154</v>
      </c>
      <c r="C201" s="11">
        <v>2026</v>
      </c>
      <c r="D201" s="6" t="s">
        <v>816</v>
      </c>
      <c r="E201" s="11">
        <v>20614777967</v>
      </c>
      <c r="F201" s="6" t="s">
        <v>817</v>
      </c>
      <c r="G201" s="6" t="s">
        <v>818</v>
      </c>
      <c r="H201" s="26">
        <v>73232635</v>
      </c>
      <c r="I201" s="26">
        <v>992360360</v>
      </c>
      <c r="J201" s="6" t="s">
        <v>487</v>
      </c>
      <c r="K201" s="7">
        <v>46175</v>
      </c>
      <c r="L201" s="11">
        <v>3</v>
      </c>
      <c r="M201" s="7">
        <f t="shared" si="28"/>
        <v>47270</v>
      </c>
      <c r="N201" s="13">
        <f t="shared" ca="1" si="29"/>
        <v>1051</v>
      </c>
      <c r="O201" s="11" t="str">
        <f t="shared" ca="1" si="30"/>
        <v>VIGENTE</v>
      </c>
      <c r="P201" s="6" t="str">
        <f t="shared" si="31"/>
        <v>20614777967 ANGELICA ZUMARÁN SPA E.I.R.L. ANGÉLICA MARÍA ZUMARÁN CABELLOS 73232635 992360360 0036-2026 ESTILISMO</v>
      </c>
      <c r="Q201" s="18" t="s">
        <v>1252</v>
      </c>
    </row>
    <row r="202" spans="1:17" s="22" customFormat="1" ht="27.6" customHeight="1">
      <c r="A202" s="6" t="s">
        <v>1068</v>
      </c>
      <c r="B202" s="6" t="s">
        <v>1155</v>
      </c>
      <c r="C202" s="11">
        <v>2026</v>
      </c>
      <c r="D202" s="6" t="s">
        <v>825</v>
      </c>
      <c r="E202" s="11">
        <v>10102055328</v>
      </c>
      <c r="F202" s="6" t="s">
        <v>826</v>
      </c>
      <c r="G202" s="6" t="s">
        <v>453</v>
      </c>
      <c r="H202" s="26">
        <v>10205232</v>
      </c>
      <c r="I202" s="26">
        <v>977166694</v>
      </c>
      <c r="J202" s="6" t="s">
        <v>487</v>
      </c>
      <c r="K202" s="7">
        <v>46175</v>
      </c>
      <c r="L202" s="11">
        <v>3</v>
      </c>
      <c r="M202" s="7">
        <f t="shared" si="28"/>
        <v>47270</v>
      </c>
      <c r="N202" s="13">
        <f t="shared" ca="1" si="29"/>
        <v>1051</v>
      </c>
      <c r="O202" s="11" t="str">
        <f t="shared" ca="1" si="30"/>
        <v>VIGENTE</v>
      </c>
      <c r="P202" s="6" t="str">
        <f t="shared" si="31"/>
        <v>10102055328 ATREVETE MERSACH SALÓN Y SPA MERCEDES SANCHEZ CHAVEZ 10205232 977166694 0037-2026 ESTILISMO</v>
      </c>
      <c r="Q202" s="18"/>
    </row>
    <row r="203" spans="1:17" s="9" customFormat="1" ht="27.6" customHeight="1">
      <c r="A203" s="6" t="s">
        <v>1063</v>
      </c>
      <c r="B203" s="6" t="s">
        <v>1150</v>
      </c>
      <c r="C203" s="11">
        <v>2026</v>
      </c>
      <c r="D203" s="6" t="s">
        <v>797</v>
      </c>
      <c r="E203" s="11">
        <v>10420603997</v>
      </c>
      <c r="F203" s="6" t="s">
        <v>798</v>
      </c>
      <c r="G203" s="6" t="s">
        <v>799</v>
      </c>
      <c r="H203" s="26">
        <v>42060399</v>
      </c>
      <c r="I203" s="26">
        <v>993824255</v>
      </c>
      <c r="J203" s="6" t="s">
        <v>1245</v>
      </c>
      <c r="K203" s="7">
        <v>46174</v>
      </c>
      <c r="L203" s="11">
        <v>3</v>
      </c>
      <c r="M203" s="7">
        <f t="shared" si="28"/>
        <v>47269</v>
      </c>
      <c r="N203" s="13">
        <f t="shared" ca="1" si="29"/>
        <v>1050</v>
      </c>
      <c r="O203" s="11" t="str">
        <f t="shared" ca="1" si="30"/>
        <v>VIGENTE</v>
      </c>
      <c r="P203" s="6" t="str">
        <f t="shared" si="31"/>
        <v>10420603997 LIBRERÍA MATEO ELENA ROSARIO MANAYAY CALDERÓN 42060399 993824255 0028-2026 COMPUTACIÓN E INFORMÁTICA</v>
      </c>
      <c r="Q203" s="18" t="s">
        <v>1231</v>
      </c>
    </row>
    <row r="204" spans="1:17" s="9" customFormat="1" ht="27.6" customHeight="1">
      <c r="A204" s="6" t="s">
        <v>1065</v>
      </c>
      <c r="B204" s="6" t="s">
        <v>1152</v>
      </c>
      <c r="C204" s="11">
        <v>2026</v>
      </c>
      <c r="D204" s="6" t="s">
        <v>810</v>
      </c>
      <c r="E204" s="11">
        <v>20612862215</v>
      </c>
      <c r="F204" s="6" t="s">
        <v>811</v>
      </c>
      <c r="G204" s="6" t="s">
        <v>812</v>
      </c>
      <c r="H204" s="26">
        <v>75685904</v>
      </c>
      <c r="I204" s="26">
        <v>998457444</v>
      </c>
      <c r="J204" s="6" t="s">
        <v>508</v>
      </c>
      <c r="K204" s="7">
        <v>46175</v>
      </c>
      <c r="L204" s="11">
        <v>3</v>
      </c>
      <c r="M204" s="7">
        <f t="shared" si="28"/>
        <v>47270</v>
      </c>
      <c r="N204" s="13">
        <f t="shared" ca="1" si="29"/>
        <v>1051</v>
      </c>
      <c r="O204" s="11" t="str">
        <f t="shared" ca="1" si="30"/>
        <v>VIGENTE</v>
      </c>
      <c r="P204" s="6" t="str">
        <f t="shared" si="31"/>
        <v>20612862215 AMCAD INGENIEROS DANNY ALEXANDER AMAMBAL DE LA CRUZ 75685904 998457444 0032-2026 TOPOGRAFÍA</v>
      </c>
      <c r="Q204" s="18" t="s">
        <v>1231</v>
      </c>
    </row>
    <row r="205" spans="1:17" s="9" customFormat="1" ht="27.6" customHeight="1">
      <c r="A205" s="6" t="s">
        <v>1070</v>
      </c>
      <c r="B205" s="6" t="s">
        <v>1157</v>
      </c>
      <c r="C205" s="11">
        <v>2026</v>
      </c>
      <c r="D205" s="6" t="s">
        <v>830</v>
      </c>
      <c r="E205" s="11">
        <v>10418580084</v>
      </c>
      <c r="F205" s="6" t="s">
        <v>831</v>
      </c>
      <c r="G205" s="6" t="s">
        <v>832</v>
      </c>
      <c r="H205" s="26">
        <v>41858008</v>
      </c>
      <c r="I205" s="26">
        <v>991314569</v>
      </c>
      <c r="J205" s="6" t="s">
        <v>1244</v>
      </c>
      <c r="K205" s="7">
        <v>46175</v>
      </c>
      <c r="L205" s="11">
        <v>3</v>
      </c>
      <c r="M205" s="7">
        <f t="shared" si="28"/>
        <v>47270</v>
      </c>
      <c r="N205" s="13">
        <f t="shared" ca="1" si="29"/>
        <v>1051</v>
      </c>
      <c r="O205" s="11" t="str">
        <f t="shared" ca="1" si="30"/>
        <v>VIGENTE</v>
      </c>
      <c r="P205" s="6" t="str">
        <f t="shared" si="31"/>
        <v>10418580084 BODEGA MARJORIE JEANETH MARJORIE CRUZ CANAZA 41858008 991314569 0039-2026 ADMINISTRACIÓN Y COMERCIO</v>
      </c>
      <c r="Q205" s="18"/>
    </row>
    <row r="206" spans="1:17" s="9" customFormat="1" ht="27.6" customHeight="1">
      <c r="A206" s="6" t="s">
        <v>1071</v>
      </c>
      <c r="B206" s="6" t="s">
        <v>1158</v>
      </c>
      <c r="C206" s="11">
        <v>2026</v>
      </c>
      <c r="D206" s="6" t="s">
        <v>833</v>
      </c>
      <c r="E206" s="11">
        <v>20611537132</v>
      </c>
      <c r="F206" s="6" t="s">
        <v>834</v>
      </c>
      <c r="G206" s="6" t="s">
        <v>835</v>
      </c>
      <c r="H206" s="26">
        <v>41231440</v>
      </c>
      <c r="I206" s="26">
        <v>935607160</v>
      </c>
      <c r="J206" s="6" t="s">
        <v>1244</v>
      </c>
      <c r="K206" s="7">
        <v>46175</v>
      </c>
      <c r="L206" s="11">
        <v>3</v>
      </c>
      <c r="M206" s="7">
        <f t="shared" si="28"/>
        <v>47270</v>
      </c>
      <c r="N206" s="13">
        <f t="shared" ca="1" si="29"/>
        <v>1051</v>
      </c>
      <c r="O206" s="11" t="str">
        <f t="shared" ca="1" si="30"/>
        <v>VIGENTE</v>
      </c>
      <c r="P206" s="6" t="str">
        <f t="shared" si="31"/>
        <v>20611537132 BURO GROUP SERVICIOS COMERCIALES S.A.C ROBERT GODOY STERLING 41231440 935607160 0042-2026 ADMINISTRACIÓN Y COMERCIO</v>
      </c>
      <c r="Q206" s="18"/>
    </row>
    <row r="207" spans="1:17" s="9" customFormat="1" ht="27.6" customHeight="1">
      <c r="A207" s="6" t="s">
        <v>1072</v>
      </c>
      <c r="B207" s="6" t="s">
        <v>1159</v>
      </c>
      <c r="C207" s="11">
        <v>2026</v>
      </c>
      <c r="D207" s="6" t="s">
        <v>836</v>
      </c>
      <c r="E207" s="11">
        <v>20453744168</v>
      </c>
      <c r="F207" s="6" t="s">
        <v>837</v>
      </c>
      <c r="G207" s="6" t="s">
        <v>838</v>
      </c>
      <c r="H207" s="26">
        <v>16689559</v>
      </c>
      <c r="I207" s="26">
        <v>976163311</v>
      </c>
      <c r="J207" s="6" t="s">
        <v>1245</v>
      </c>
      <c r="K207" s="7">
        <v>46175</v>
      </c>
      <c r="L207" s="11">
        <v>3</v>
      </c>
      <c r="M207" s="7">
        <f t="shared" si="28"/>
        <v>47270</v>
      </c>
      <c r="N207" s="13">
        <f t="shared" ca="1" si="29"/>
        <v>1051</v>
      </c>
      <c r="O207" s="11" t="str">
        <f t="shared" ca="1" si="30"/>
        <v>VIGENTE</v>
      </c>
      <c r="P207" s="6" t="str">
        <f t="shared" si="31"/>
        <v>20453744168 CENTRO DE ACOGIDA RESIDENCIAL - ALDEA INFANTIL SAN ANTONIO JORGE ENRIQUE BAZÁN MAYRA 16689559 976163311 0043-2026 COMPUTACIÓN E INFORMÁTICA</v>
      </c>
      <c r="Q207" s="18"/>
    </row>
    <row r="208" spans="1:17" s="22" customFormat="1" ht="27.6" customHeight="1">
      <c r="A208" s="6" t="s">
        <v>1072</v>
      </c>
      <c r="B208" s="6" t="s">
        <v>1159</v>
      </c>
      <c r="C208" s="11">
        <v>2026</v>
      </c>
      <c r="D208" s="6" t="s">
        <v>841</v>
      </c>
      <c r="E208" s="11">
        <v>20615471543</v>
      </c>
      <c r="F208" s="6" t="s">
        <v>842</v>
      </c>
      <c r="G208" s="6" t="s">
        <v>843</v>
      </c>
      <c r="H208" s="26">
        <v>43556387</v>
      </c>
      <c r="I208" s="26">
        <v>957345954</v>
      </c>
      <c r="J208" s="6" t="s">
        <v>466</v>
      </c>
      <c r="K208" s="7">
        <v>46175</v>
      </c>
      <c r="L208" s="11">
        <v>3</v>
      </c>
      <c r="M208" s="7">
        <f t="shared" si="28"/>
        <v>47270</v>
      </c>
      <c r="N208" s="13">
        <f t="shared" ca="1" si="29"/>
        <v>1051</v>
      </c>
      <c r="O208" s="11" t="str">
        <f t="shared" ca="1" si="30"/>
        <v>VIGENTE</v>
      </c>
      <c r="P208" s="6" t="str">
        <f t="shared" si="31"/>
        <v>20615471543 CEVICHERÍA CARIÑITO LEONARDO VÁSQUEZ ALBURUQUEQUE 43556387 957345954 0043-2026 COCINA</v>
      </c>
      <c r="Q208" s="18" t="s">
        <v>1235</v>
      </c>
    </row>
    <row r="209" spans="1:17" s="9" customFormat="1" ht="27.6" customHeight="1">
      <c r="A209" s="6" t="s">
        <v>1073</v>
      </c>
      <c r="B209" s="6" t="s">
        <v>1160</v>
      </c>
      <c r="C209" s="11">
        <v>2026</v>
      </c>
      <c r="D209" s="6" t="s">
        <v>404</v>
      </c>
      <c r="E209" s="11">
        <v>10401746779</v>
      </c>
      <c r="F209" s="6" t="s">
        <v>839</v>
      </c>
      <c r="G209" s="6" t="s">
        <v>840</v>
      </c>
      <c r="H209" s="26">
        <v>40174677</v>
      </c>
      <c r="I209" s="26">
        <v>970923230</v>
      </c>
      <c r="J209" s="6" t="s">
        <v>487</v>
      </c>
      <c r="K209" s="7">
        <v>46175</v>
      </c>
      <c r="L209" s="11">
        <v>3</v>
      </c>
      <c r="M209" s="7">
        <f t="shared" si="28"/>
        <v>47270</v>
      </c>
      <c r="N209" s="13">
        <f t="shared" ca="1" si="29"/>
        <v>1051</v>
      </c>
      <c r="O209" s="11" t="str">
        <f t="shared" ca="1" si="30"/>
        <v>VIGENTE</v>
      </c>
      <c r="P209" s="6" t="str">
        <f t="shared" si="31"/>
        <v>10401746779 CENTRO DE ESTETICA ROSSY ROSELA RAMOS ALTAMIRANO 40174677 970923230 0044-2026 ESTILISMO</v>
      </c>
      <c r="Q209" s="18"/>
    </row>
    <row r="210" spans="1:17" s="9" customFormat="1" ht="27.6" customHeight="1">
      <c r="A210" s="6" t="s">
        <v>1074</v>
      </c>
      <c r="B210" s="6" t="s">
        <v>1176</v>
      </c>
      <c r="C210" s="11">
        <v>2026</v>
      </c>
      <c r="D210" s="6" t="s">
        <v>844</v>
      </c>
      <c r="E210" s="11">
        <v>1006311795</v>
      </c>
      <c r="F210" s="6" t="s">
        <v>845</v>
      </c>
      <c r="G210" s="6" t="s">
        <v>846</v>
      </c>
      <c r="H210" s="26" t="s">
        <v>847</v>
      </c>
      <c r="I210" s="26">
        <v>962002288</v>
      </c>
      <c r="J210" s="6" t="s">
        <v>466</v>
      </c>
      <c r="K210" s="7">
        <v>46175</v>
      </c>
      <c r="L210" s="11">
        <v>3</v>
      </c>
      <c r="M210" s="7">
        <f t="shared" si="28"/>
        <v>47270</v>
      </c>
      <c r="N210" s="13">
        <f t="shared" ca="1" si="29"/>
        <v>1051</v>
      </c>
      <c r="O210" s="11" t="str">
        <f t="shared" ca="1" si="30"/>
        <v>VIGENTE</v>
      </c>
      <c r="P210" s="6" t="str">
        <f t="shared" si="31"/>
        <v>1006311795 CHICHARRICOS &amp; KUSYCUY JOSÉ MARCHENA FLORES 06311795 962002288 0046-2026 COCINA</v>
      </c>
      <c r="Q210" s="18"/>
    </row>
    <row r="211" spans="1:17" s="22" customFormat="1" ht="27.6" customHeight="1">
      <c r="A211" s="6" t="s">
        <v>1074</v>
      </c>
      <c r="B211" s="6" t="s">
        <v>1176</v>
      </c>
      <c r="C211" s="11">
        <v>2026</v>
      </c>
      <c r="D211" s="6" t="s">
        <v>851</v>
      </c>
      <c r="E211" s="11">
        <v>10441552365</v>
      </c>
      <c r="F211" s="6" t="s">
        <v>852</v>
      </c>
      <c r="G211" s="6" t="s">
        <v>853</v>
      </c>
      <c r="H211" s="26">
        <v>44155236</v>
      </c>
      <c r="I211" s="26">
        <v>976565105</v>
      </c>
      <c r="J211" s="6" t="s">
        <v>1244</v>
      </c>
      <c r="K211" s="7">
        <v>46175</v>
      </c>
      <c r="L211" s="11">
        <v>3</v>
      </c>
      <c r="M211" s="7">
        <f t="shared" si="28"/>
        <v>47270</v>
      </c>
      <c r="N211" s="13">
        <f t="shared" ca="1" si="29"/>
        <v>1051</v>
      </c>
      <c r="O211" s="11" t="str">
        <f t="shared" ca="1" si="30"/>
        <v>VIGENTE</v>
      </c>
      <c r="P211" s="6" t="str">
        <f t="shared" si="31"/>
        <v>10441552365 CJ ELECTRONICS EDGAR CORTEZ JARA 44155236 976565105 0046-2026 ADMINISTRACIÓN Y COMERCIO</v>
      </c>
      <c r="Q211" s="18" t="s">
        <v>1235</v>
      </c>
    </row>
    <row r="212" spans="1:17" s="9" customFormat="1" ht="27.6" customHeight="1">
      <c r="A212" s="6" t="s">
        <v>1075</v>
      </c>
      <c r="B212" s="6" t="s">
        <v>1161</v>
      </c>
      <c r="C212" s="11">
        <v>2026</v>
      </c>
      <c r="D212" s="6" t="s">
        <v>848</v>
      </c>
      <c r="E212" s="11">
        <v>649483</v>
      </c>
      <c r="F212" s="6" t="s">
        <v>849</v>
      </c>
      <c r="G212" s="6" t="s">
        <v>850</v>
      </c>
      <c r="H212" s="26">
        <v>26618980</v>
      </c>
      <c r="I212" s="26">
        <v>950848622</v>
      </c>
      <c r="J212" s="6" t="s">
        <v>1245</v>
      </c>
      <c r="K212" s="7">
        <v>46175</v>
      </c>
      <c r="L212" s="11">
        <v>3</v>
      </c>
      <c r="M212" s="7">
        <f t="shared" ref="M212:M243" si="32">IF(OR(K212="",L212=""),"",DATE(YEAR(K212)+L212,MONTH(K212),DAY(K212))-1)</f>
        <v>47270</v>
      </c>
      <c r="N212" s="13">
        <f t="shared" ref="N212:N243" ca="1" si="33">IF(M212="","",M212-TODAY())</f>
        <v>1051</v>
      </c>
      <c r="O212" s="11" t="str">
        <f t="shared" ref="O212:O243" ca="1" si="34">IF(M212="","SIN FECHA",IF(M212&lt;TODAY(),"VENCIDO",IF(M212-TODAY()&lt;=30,"POR VENCER","VIGENTE")))</f>
        <v>VIGENTE</v>
      </c>
      <c r="P212" s="6" t="str">
        <f t="shared" ref="P212:P243" si="35">UPPER(TRIM(E212&amp;" "&amp;D212&amp;" "&amp;G212&amp;" "&amp;H212&amp;" "&amp;I212&amp;" "&amp;B212&amp;" "&amp;J212))</f>
        <v>649483 I.E HNO MIGUEL CARDUCCI RIPIANI VENTURA VARGAS LEOLIS MARFILO 26618980 950848622 0047-2026 COMPUTACIÓN E INFORMÁTICA</v>
      </c>
      <c r="Q212" s="18"/>
    </row>
    <row r="213" spans="1:17" s="22" customFormat="1" ht="27.6" customHeight="1">
      <c r="A213" s="6" t="s">
        <v>1076</v>
      </c>
      <c r="B213" s="6" t="s">
        <v>1162</v>
      </c>
      <c r="C213" s="11">
        <v>2026</v>
      </c>
      <c r="D213" s="6" t="s">
        <v>857</v>
      </c>
      <c r="E213" s="11">
        <v>10266852822</v>
      </c>
      <c r="F213" s="6" t="s">
        <v>858</v>
      </c>
      <c r="G213" s="6" t="s">
        <v>859</v>
      </c>
      <c r="H213" s="26">
        <v>26685282</v>
      </c>
      <c r="I213" s="26">
        <v>976881737</v>
      </c>
      <c r="J213" s="6" t="s">
        <v>860</v>
      </c>
      <c r="K213" s="7">
        <v>46175</v>
      </c>
      <c r="L213" s="11">
        <v>3</v>
      </c>
      <c r="M213" s="7">
        <f t="shared" si="32"/>
        <v>47270</v>
      </c>
      <c r="N213" s="13">
        <f t="shared" ca="1" si="33"/>
        <v>1051</v>
      </c>
      <c r="O213" s="11" t="str">
        <f t="shared" ca="1" si="34"/>
        <v>VIGENTE</v>
      </c>
      <c r="P213" s="6" t="str">
        <f t="shared" si="35"/>
        <v>10266852822 RESTAURANT RELATOS BEATRIZ DEL SOCORRO GODOY CASTAÑEDA 26685282 976881737 0048-2026 COCINA</v>
      </c>
      <c r="Q213" s="18"/>
    </row>
    <row r="214" spans="1:17" s="9" customFormat="1" ht="27.6" customHeight="1">
      <c r="A214" s="6" t="s">
        <v>1077</v>
      </c>
      <c r="B214" s="6" t="s">
        <v>1163</v>
      </c>
      <c r="C214" s="11">
        <v>2026</v>
      </c>
      <c r="D214" s="6" t="s">
        <v>854</v>
      </c>
      <c r="E214" s="11">
        <v>20326102181</v>
      </c>
      <c r="F214" s="6" t="s">
        <v>855</v>
      </c>
      <c r="G214" s="6" t="s">
        <v>856</v>
      </c>
      <c r="H214" s="26">
        <v>26614532</v>
      </c>
      <c r="I214" s="26">
        <v>955481993</v>
      </c>
      <c r="J214" s="6" t="s">
        <v>1037</v>
      </c>
      <c r="K214" s="7">
        <v>46175</v>
      </c>
      <c r="L214" s="11">
        <v>3</v>
      </c>
      <c r="M214" s="7">
        <f t="shared" si="32"/>
        <v>47270</v>
      </c>
      <c r="N214" s="13">
        <f t="shared" ca="1" si="33"/>
        <v>1051</v>
      </c>
      <c r="O214" s="11" t="str">
        <f t="shared" ca="1" si="34"/>
        <v>VIGENTE</v>
      </c>
      <c r="P214" s="6" t="str">
        <f t="shared" si="35"/>
        <v>20326102181 HOSTAL CAMPERO SAN ANTONIO EIRL CARMEN VIVIANI LUNA ORTEGA 26614532 955481993 0049-2026 COCINA/REDES/ADMINISTRACIÓN</v>
      </c>
      <c r="Q214" s="18"/>
    </row>
    <row r="215" spans="1:17" s="22" customFormat="1" ht="25.5" customHeight="1">
      <c r="A215" s="6" t="s">
        <v>1078</v>
      </c>
      <c r="B215" s="6" t="s">
        <v>1164</v>
      </c>
      <c r="C215" s="11">
        <v>2026</v>
      </c>
      <c r="D215" s="6" t="s">
        <v>864</v>
      </c>
      <c r="E215" s="11">
        <v>20113886987</v>
      </c>
      <c r="F215" s="6" t="s">
        <v>865</v>
      </c>
      <c r="G215" s="6" t="s">
        <v>866</v>
      </c>
      <c r="H215" s="26">
        <v>26627276</v>
      </c>
      <c r="I215" s="26">
        <v>940179419</v>
      </c>
      <c r="J215" s="6" t="s">
        <v>613</v>
      </c>
      <c r="K215" s="7">
        <v>46184</v>
      </c>
      <c r="L215" s="11">
        <v>3</v>
      </c>
      <c r="M215" s="7">
        <f t="shared" si="32"/>
        <v>47279</v>
      </c>
      <c r="N215" s="13">
        <f t="shared" ca="1" si="33"/>
        <v>1060</v>
      </c>
      <c r="O215" s="11" t="str">
        <f t="shared" ca="1" si="34"/>
        <v>VIGENTE</v>
      </c>
      <c r="P215" s="6" t="str">
        <f t="shared" si="35"/>
        <v>20113886987 ASOCIACIÓN SANTA DOROTEA SILVIA JOSEFINA PAJARES SALDAÑA 26627276 940179419 0050-2026 SERVICIOS SOCIALES Y DE SALUD</v>
      </c>
      <c r="Q215" s="18"/>
    </row>
    <row r="216" spans="1:17" s="9" customFormat="1" ht="27.6" customHeight="1">
      <c r="A216" s="6" t="s">
        <v>1079</v>
      </c>
      <c r="B216" s="6" t="s">
        <v>1165</v>
      </c>
      <c r="C216" s="11">
        <v>2026</v>
      </c>
      <c r="D216" s="6" t="s">
        <v>861</v>
      </c>
      <c r="E216" s="11">
        <v>503474</v>
      </c>
      <c r="F216" s="6" t="s">
        <v>862</v>
      </c>
      <c r="G216" s="6" t="s">
        <v>863</v>
      </c>
      <c r="H216" s="26">
        <v>26694551</v>
      </c>
      <c r="I216" s="26"/>
      <c r="J216" s="6" t="s">
        <v>613</v>
      </c>
      <c r="K216" s="7">
        <v>46184</v>
      </c>
      <c r="L216" s="11">
        <v>3</v>
      </c>
      <c r="M216" s="7">
        <f t="shared" si="32"/>
        <v>47279</v>
      </c>
      <c r="N216" s="13">
        <f t="shared" ca="1" si="33"/>
        <v>1060</v>
      </c>
      <c r="O216" s="11" t="str">
        <f t="shared" ca="1" si="34"/>
        <v>VIGENTE</v>
      </c>
      <c r="P216" s="6" t="str">
        <f t="shared" si="35"/>
        <v>503474 CENTRO DE EDUCACIÓN BÁSICA ESPECIAL CAJAMARCA FELIPE CAMPOS ALVA 26694551 0051-2026 SERVICIOS SOCIALES Y DE SALUD</v>
      </c>
      <c r="Q216" s="18"/>
    </row>
    <row r="217" spans="1:17" s="9" customFormat="1" ht="27.6" customHeight="1">
      <c r="A217" s="6" t="s">
        <v>1079</v>
      </c>
      <c r="B217" s="6" t="s">
        <v>1165</v>
      </c>
      <c r="C217" s="11">
        <v>2026</v>
      </c>
      <c r="D217" s="6" t="s">
        <v>867</v>
      </c>
      <c r="E217" s="11">
        <v>20453728120</v>
      </c>
      <c r="F217" s="6" t="s">
        <v>868</v>
      </c>
      <c r="G217" s="6" t="s">
        <v>869</v>
      </c>
      <c r="H217" s="26" t="s">
        <v>870</v>
      </c>
      <c r="I217" s="26">
        <v>976966341</v>
      </c>
      <c r="J217" s="6" t="s">
        <v>1244</v>
      </c>
      <c r="K217" s="7">
        <v>46188</v>
      </c>
      <c r="L217" s="11">
        <v>3</v>
      </c>
      <c r="M217" s="7">
        <f t="shared" si="32"/>
        <v>47283</v>
      </c>
      <c r="N217" s="13">
        <f t="shared" ca="1" si="33"/>
        <v>1064</v>
      </c>
      <c r="O217" s="11" t="str">
        <f t="shared" ca="1" si="34"/>
        <v>VIGENTE</v>
      </c>
      <c r="P217" s="6" t="str">
        <f t="shared" si="35"/>
        <v>20453728120 CLINICA MARIA BELEN JORGE LUIS VERGARA CASTAÑEDA 06431127 976966341 0051-2026 ADMINISTRACIÓN Y COMERCIO</v>
      </c>
      <c r="Q217" s="18" t="s">
        <v>1235</v>
      </c>
    </row>
    <row r="218" spans="1:17" s="22" customFormat="1" ht="27.6" customHeight="1">
      <c r="A218" s="6" t="s">
        <v>1080</v>
      </c>
      <c r="B218" s="6" t="s">
        <v>1166</v>
      </c>
      <c r="C218" s="11">
        <v>2026</v>
      </c>
      <c r="D218" s="6" t="s">
        <v>872</v>
      </c>
      <c r="E218" s="11">
        <v>20615384225</v>
      </c>
      <c r="F218" s="6" t="s">
        <v>873</v>
      </c>
      <c r="G218" s="6" t="s">
        <v>874</v>
      </c>
      <c r="H218" s="26">
        <v>42089791</v>
      </c>
      <c r="I218" s="26">
        <v>936870096</v>
      </c>
      <c r="J218" s="6" t="s">
        <v>508</v>
      </c>
      <c r="K218" s="7">
        <v>46188</v>
      </c>
      <c r="L218" s="11">
        <v>3</v>
      </c>
      <c r="M218" s="7">
        <f t="shared" si="32"/>
        <v>47283</v>
      </c>
      <c r="N218" s="13">
        <f t="shared" ca="1" si="33"/>
        <v>1064</v>
      </c>
      <c r="O218" s="11" t="str">
        <f t="shared" ca="1" si="34"/>
        <v>VIGENTE</v>
      </c>
      <c r="P218" s="6" t="str">
        <f t="shared" si="35"/>
        <v>20615384225 CONSORCIO PUEBLO NUEVO ROGER REYES RIOS 42089791 936870096 0053-2026 TOPOGRAFÍA</v>
      </c>
      <c r="Q218" s="18"/>
    </row>
    <row r="219" spans="1:17" s="9" customFormat="1" ht="27.6" customHeight="1">
      <c r="A219" s="6" t="s">
        <v>1081</v>
      </c>
      <c r="B219" s="6" t="s">
        <v>1167</v>
      </c>
      <c r="C219" s="11">
        <v>2026</v>
      </c>
      <c r="D219" s="6" t="s">
        <v>803</v>
      </c>
      <c r="E219" s="11">
        <v>10748855861</v>
      </c>
      <c r="F219" s="6" t="s">
        <v>871</v>
      </c>
      <c r="G219" s="6" t="s">
        <v>805</v>
      </c>
      <c r="H219" s="26">
        <v>74885586</v>
      </c>
      <c r="I219" s="26">
        <v>932822613</v>
      </c>
      <c r="J219" s="6" t="s">
        <v>1248</v>
      </c>
      <c r="K219" s="7">
        <v>46188</v>
      </c>
      <c r="L219" s="11">
        <v>3</v>
      </c>
      <c r="M219" s="7">
        <f t="shared" si="32"/>
        <v>47283</v>
      </c>
      <c r="N219" s="13">
        <f t="shared" ca="1" si="33"/>
        <v>1064</v>
      </c>
      <c r="O219" s="11" t="str">
        <f t="shared" ca="1" si="34"/>
        <v>VIGENTE</v>
      </c>
      <c r="P219" s="6" t="str">
        <f t="shared" si="35"/>
        <v>10748855861 CONFECCIONES JUNE MODA PERÚ NANCY KARINA CHUQUIMANGO LÓPEZ 74885586 932822613 0054-2026 TEXTIL Y CONFECCIÓN</v>
      </c>
      <c r="Q219" s="18"/>
    </row>
    <row r="220" spans="1:17" s="9" customFormat="1" ht="27.6" customHeight="1">
      <c r="A220" s="6" t="s">
        <v>1082</v>
      </c>
      <c r="B220" s="6" t="s">
        <v>1168</v>
      </c>
      <c r="C220" s="11">
        <v>2026</v>
      </c>
      <c r="D220" s="6" t="s">
        <v>875</v>
      </c>
      <c r="E220" s="11">
        <v>20613666886</v>
      </c>
      <c r="F220" s="6" t="s">
        <v>876</v>
      </c>
      <c r="G220" s="6" t="s">
        <v>877</v>
      </c>
      <c r="H220" s="26">
        <v>48064948</v>
      </c>
      <c r="I220" s="26">
        <v>947729307</v>
      </c>
      <c r="J220" s="6" t="s">
        <v>1245</v>
      </c>
      <c r="K220" s="7">
        <v>46188</v>
      </c>
      <c r="L220" s="11">
        <v>3</v>
      </c>
      <c r="M220" s="7">
        <f t="shared" si="32"/>
        <v>47283</v>
      </c>
      <c r="N220" s="13">
        <f t="shared" ca="1" si="33"/>
        <v>1064</v>
      </c>
      <c r="O220" s="11" t="str">
        <f t="shared" ca="1" si="34"/>
        <v>VIGENTE</v>
      </c>
      <c r="P220" s="6" t="str">
        <f t="shared" si="35"/>
        <v>20613666886 CORPORACION COVAR E.I.R.L. LUIS EDUARDO SALAZAR VARGAS 48064948 947729307 0056-2026 COMPUTACIÓN E INFORMÁTICA</v>
      </c>
      <c r="Q220" s="18"/>
    </row>
    <row r="221" spans="1:17" s="9" customFormat="1" ht="27.6" customHeight="1">
      <c r="A221" s="6" t="s">
        <v>1083</v>
      </c>
      <c r="B221" s="6" t="s">
        <v>1169</v>
      </c>
      <c r="C221" s="11">
        <v>2026</v>
      </c>
      <c r="D221" s="6" t="s">
        <v>424</v>
      </c>
      <c r="E221" s="11">
        <v>20496171358</v>
      </c>
      <c r="F221" s="6" t="s">
        <v>878</v>
      </c>
      <c r="G221" s="6" t="s">
        <v>879</v>
      </c>
      <c r="H221" s="26">
        <v>72836994</v>
      </c>
      <c r="I221" s="26">
        <v>976089273</v>
      </c>
      <c r="J221" s="6" t="s">
        <v>508</v>
      </c>
      <c r="K221" s="7">
        <v>46188</v>
      </c>
      <c r="L221" s="11">
        <v>3</v>
      </c>
      <c r="M221" s="7">
        <f t="shared" si="32"/>
        <v>47283</v>
      </c>
      <c r="N221" s="13">
        <f t="shared" ca="1" si="33"/>
        <v>1064</v>
      </c>
      <c r="O221" s="11" t="str">
        <f t="shared" ca="1" si="34"/>
        <v>VIGENTE</v>
      </c>
      <c r="P221" s="6" t="str">
        <f t="shared" si="35"/>
        <v>20496171358 CORPORACIÓN F&amp;K SAC FIORELLA LISBETH VILLANUEVA VÁSQUEZ 72836994 976089273 0057-2026 TOPOGRAFÍA</v>
      </c>
      <c r="Q221" s="18"/>
    </row>
    <row r="222" spans="1:17" s="9" customFormat="1" ht="27.6" customHeight="1">
      <c r="A222" s="6" t="s">
        <v>1084</v>
      </c>
      <c r="B222" s="6" t="s">
        <v>1170</v>
      </c>
      <c r="C222" s="11">
        <v>2026</v>
      </c>
      <c r="D222" s="6" t="s">
        <v>880</v>
      </c>
      <c r="E222" s="11">
        <v>20614151812</v>
      </c>
      <c r="F222" s="6" t="s">
        <v>881</v>
      </c>
      <c r="G222" s="6" t="s">
        <v>769</v>
      </c>
      <c r="H222" s="26">
        <v>73183001</v>
      </c>
      <c r="I222" s="26">
        <v>941395049</v>
      </c>
      <c r="J222" s="6" t="s">
        <v>508</v>
      </c>
      <c r="K222" s="7">
        <v>46188</v>
      </c>
      <c r="L222" s="11">
        <v>3</v>
      </c>
      <c r="M222" s="7">
        <f t="shared" si="32"/>
        <v>47283</v>
      </c>
      <c r="N222" s="13">
        <f t="shared" ca="1" si="33"/>
        <v>1064</v>
      </c>
      <c r="O222" s="11" t="str">
        <f t="shared" ca="1" si="34"/>
        <v>VIGENTE</v>
      </c>
      <c r="P222" s="6" t="str">
        <f t="shared" si="35"/>
        <v>20614151812 CORPORACIÓN NARRO SERVICIOS GENERALES CLAUDIA LISBETH MORENO NARRO 73183001 941395049 0058-2026 TOPOGRAFÍA</v>
      </c>
      <c r="Q222" s="18"/>
    </row>
    <row r="223" spans="1:17" s="22" customFormat="1" ht="27.6" customHeight="1">
      <c r="A223" s="6" t="s">
        <v>1084</v>
      </c>
      <c r="B223" s="6" t="s">
        <v>1170</v>
      </c>
      <c r="C223" s="11">
        <v>2026</v>
      </c>
      <c r="D223" s="6" t="s">
        <v>758</v>
      </c>
      <c r="E223" s="11">
        <v>10711399173</v>
      </c>
      <c r="F223" s="6" t="s">
        <v>883</v>
      </c>
      <c r="G223" s="6" t="s">
        <v>760</v>
      </c>
      <c r="H223" s="26">
        <v>71139917</v>
      </c>
      <c r="I223" s="26">
        <v>942581904</v>
      </c>
      <c r="J223" s="6" t="s">
        <v>487</v>
      </c>
      <c r="K223" s="7">
        <v>46188</v>
      </c>
      <c r="L223" s="11">
        <v>3</v>
      </c>
      <c r="M223" s="7">
        <f t="shared" si="32"/>
        <v>47283</v>
      </c>
      <c r="N223" s="13">
        <f t="shared" ca="1" si="33"/>
        <v>1064</v>
      </c>
      <c r="O223" s="11" t="str">
        <f t="shared" ca="1" si="34"/>
        <v>VIGENTE</v>
      </c>
      <c r="P223" s="6" t="str">
        <f t="shared" si="35"/>
        <v>10711399173 DIANA SALÓN &amp; SPA DIANA NATALY AGUILAR CARRIÓN 71139917 942581904 0058-2026 ESTILISMO</v>
      </c>
      <c r="Q223" s="18"/>
    </row>
    <row r="224" spans="1:17" s="9" customFormat="1" ht="27.6" customHeight="1">
      <c r="A224" s="6" t="s">
        <v>1069</v>
      </c>
      <c r="B224" s="6" t="s">
        <v>1156</v>
      </c>
      <c r="C224" s="11">
        <v>2026</v>
      </c>
      <c r="D224" s="6" t="s">
        <v>822</v>
      </c>
      <c r="E224" s="11">
        <v>20607913073</v>
      </c>
      <c r="F224" s="6" t="s">
        <v>823</v>
      </c>
      <c r="G224" s="6" t="s">
        <v>824</v>
      </c>
      <c r="H224" s="26">
        <v>44252965</v>
      </c>
      <c r="I224" s="26">
        <v>915187565</v>
      </c>
      <c r="J224" s="6" t="s">
        <v>613</v>
      </c>
      <c r="K224" s="7">
        <v>46175</v>
      </c>
      <c r="L224" s="11">
        <v>3</v>
      </c>
      <c r="M224" s="7">
        <f t="shared" si="32"/>
        <v>47270</v>
      </c>
      <c r="N224" s="13">
        <f t="shared" ca="1" si="33"/>
        <v>1051</v>
      </c>
      <c r="O224" s="11" t="str">
        <f t="shared" ca="1" si="34"/>
        <v>VIGENTE</v>
      </c>
      <c r="P224" s="6" t="str">
        <f t="shared" si="35"/>
        <v>20607913073 ASOCIACIÓN CIVIL ECLESIÁSTICA BANCO DE ALIMENTOS DE CAJAMARCA ANTHONY JOHAN TERÁN REVILLA 44252965 915187565 0038-2026 SERVICIOS SOCIALES Y DE SALUD</v>
      </c>
      <c r="Q224" s="18"/>
    </row>
    <row r="225" spans="1:17" s="9" customFormat="1" ht="27.6" customHeight="1">
      <c r="A225" s="6" t="s">
        <v>1069</v>
      </c>
      <c r="B225" s="6" t="s">
        <v>1156</v>
      </c>
      <c r="C225" s="11">
        <v>2026</v>
      </c>
      <c r="D225" s="6" t="s">
        <v>827</v>
      </c>
      <c r="E225" s="11">
        <v>10487444869</v>
      </c>
      <c r="F225" s="6" t="s">
        <v>828</v>
      </c>
      <c r="G225" s="6" t="s">
        <v>829</v>
      </c>
      <c r="H225" s="26">
        <v>48744486</v>
      </c>
      <c r="I225" s="26">
        <v>984631034</v>
      </c>
      <c r="J225" s="6" t="s">
        <v>487</v>
      </c>
      <c r="K225" s="7">
        <v>46175</v>
      </c>
      <c r="L225" s="11">
        <v>3</v>
      </c>
      <c r="M225" s="7">
        <f t="shared" si="32"/>
        <v>47270</v>
      </c>
      <c r="N225" s="13">
        <f t="shared" ca="1" si="33"/>
        <v>1051</v>
      </c>
      <c r="O225" s="11" t="str">
        <f t="shared" ca="1" si="34"/>
        <v>VIGENTE</v>
      </c>
      <c r="P225" s="6" t="str">
        <f t="shared" si="35"/>
        <v>10487444869 BELLA IMAGEN SALÓN SPA
 MANUELA DEL CARMEN GUERRERO CAJA 48744486 984631034 0038-2026 ESTILISMO</v>
      </c>
      <c r="Q225" s="18" t="s">
        <v>1234</v>
      </c>
    </row>
    <row r="226" spans="1:17" s="9" customFormat="1" ht="27.6" customHeight="1">
      <c r="A226" s="6" t="s">
        <v>1086</v>
      </c>
      <c r="B226" s="6" t="s">
        <v>1172</v>
      </c>
      <c r="C226" s="11">
        <v>2026</v>
      </c>
      <c r="D226" s="6" t="s">
        <v>887</v>
      </c>
      <c r="E226" s="11">
        <v>10445129696</v>
      </c>
      <c r="F226" s="6" t="s">
        <v>741</v>
      </c>
      <c r="G226" s="6" t="s">
        <v>888</v>
      </c>
      <c r="H226" s="26">
        <v>44512969</v>
      </c>
      <c r="I226" s="26">
        <v>922748790</v>
      </c>
      <c r="J226" s="6" t="s">
        <v>487</v>
      </c>
      <c r="K226" s="7">
        <v>46188</v>
      </c>
      <c r="L226" s="11">
        <v>3</v>
      </c>
      <c r="M226" s="7">
        <f t="shared" si="32"/>
        <v>47283</v>
      </c>
      <c r="N226" s="13">
        <f t="shared" ca="1" si="33"/>
        <v>1064</v>
      </c>
      <c r="O226" s="11" t="str">
        <f t="shared" ca="1" si="34"/>
        <v>VIGENTE</v>
      </c>
      <c r="P226" s="6" t="str">
        <f t="shared" si="35"/>
        <v>10445129696 ERIKA JULISSA SALÓN ERIKA JULISSA GARCÍA MENDOZA 44512969 922748790 0060-2026 ESTILISMO</v>
      </c>
      <c r="Q226" s="18"/>
    </row>
    <row r="227" spans="1:17" s="9" customFormat="1" ht="27.6" customHeight="1">
      <c r="A227" s="6" t="s">
        <v>1087</v>
      </c>
      <c r="B227" s="6" t="s">
        <v>1173</v>
      </c>
      <c r="C227" s="11">
        <v>2026</v>
      </c>
      <c r="D227" s="6" t="s">
        <v>889</v>
      </c>
      <c r="E227" s="11">
        <v>10433122076</v>
      </c>
      <c r="F227" s="6" t="s">
        <v>890</v>
      </c>
      <c r="G227" s="6" t="s">
        <v>891</v>
      </c>
      <c r="H227" s="26">
        <v>43312207</v>
      </c>
      <c r="I227" s="26">
        <v>998257643</v>
      </c>
      <c r="J227" s="6" t="s">
        <v>487</v>
      </c>
      <c r="K227" s="7">
        <v>46188</v>
      </c>
      <c r="L227" s="11">
        <v>3</v>
      </c>
      <c r="M227" s="7">
        <f t="shared" si="32"/>
        <v>47283</v>
      </c>
      <c r="N227" s="13">
        <f t="shared" ca="1" si="33"/>
        <v>1064</v>
      </c>
      <c r="O227" s="11" t="str">
        <f t="shared" ca="1" si="34"/>
        <v>VIGENTE</v>
      </c>
      <c r="P227" s="6" t="str">
        <f t="shared" si="35"/>
        <v>10433122076 ERLYS
 OSCAR PITA VASQUEZ 43312207 998257643 0061-2026 ESTILISMO</v>
      </c>
      <c r="Q227" s="18"/>
    </row>
    <row r="228" spans="1:17" s="22" customFormat="1" ht="27.6" customHeight="1">
      <c r="A228" s="6" t="s">
        <v>1088</v>
      </c>
      <c r="B228" s="6" t="s">
        <v>1174</v>
      </c>
      <c r="C228" s="11">
        <v>2026</v>
      </c>
      <c r="D228" s="6" t="s">
        <v>895</v>
      </c>
      <c r="E228" s="11">
        <v>10425689105</v>
      </c>
      <c r="F228" s="6" t="s">
        <v>896</v>
      </c>
      <c r="G228" s="6" t="s">
        <v>897</v>
      </c>
      <c r="H228" s="26">
        <v>45568910</v>
      </c>
      <c r="I228" s="26">
        <v>935148841</v>
      </c>
      <c r="J228" s="6" t="s">
        <v>487</v>
      </c>
      <c r="K228" s="7">
        <v>46188</v>
      </c>
      <c r="L228" s="11">
        <v>3</v>
      </c>
      <c r="M228" s="7">
        <f t="shared" si="32"/>
        <v>47283</v>
      </c>
      <c r="N228" s="13">
        <f t="shared" ca="1" si="33"/>
        <v>1064</v>
      </c>
      <c r="O228" s="11" t="str">
        <f t="shared" ca="1" si="34"/>
        <v>VIGENTE</v>
      </c>
      <c r="P228" s="6" t="str">
        <f t="shared" si="35"/>
        <v>10425689105 FLAVYS SALÓN DE BELLEZA
 SANDRA ARACELI TACILLA ROJAS 45568910 935148841 0063-2026 ESTILISMO</v>
      </c>
      <c r="Q228" s="18"/>
    </row>
    <row r="229" spans="1:17" s="9" customFormat="1" ht="27.6" customHeight="1">
      <c r="A229" s="6" t="s">
        <v>1089</v>
      </c>
      <c r="B229" s="6" t="s">
        <v>1175</v>
      </c>
      <c r="C229" s="11">
        <v>2026</v>
      </c>
      <c r="D229" s="6" t="s">
        <v>892</v>
      </c>
      <c r="E229" s="11">
        <v>10720453725</v>
      </c>
      <c r="F229" s="6" t="s">
        <v>893</v>
      </c>
      <c r="G229" s="6" t="s">
        <v>894</v>
      </c>
      <c r="H229" s="26">
        <v>72045372</v>
      </c>
      <c r="I229" s="26">
        <v>923269173</v>
      </c>
      <c r="J229" s="6" t="s">
        <v>1245</v>
      </c>
      <c r="K229" s="7">
        <v>46188</v>
      </c>
      <c r="L229" s="11">
        <v>3</v>
      </c>
      <c r="M229" s="7">
        <f t="shared" si="32"/>
        <v>47283</v>
      </c>
      <c r="N229" s="13">
        <f t="shared" ca="1" si="33"/>
        <v>1064</v>
      </c>
      <c r="O229" s="11" t="str">
        <f t="shared" ca="1" si="34"/>
        <v>VIGENTE</v>
      </c>
      <c r="P229" s="6" t="str">
        <f t="shared" si="35"/>
        <v>10720453725 FC COMPU TECNOLOGY FREDY ANTHONY CIRIACO TORRES 72045372 923269173 0064-2026 COMPUTACIÓN E INFORMÁTICA</v>
      </c>
      <c r="Q229" s="18"/>
    </row>
    <row r="230" spans="1:17" s="9" customFormat="1" ht="27.6" customHeight="1">
      <c r="A230" s="6" t="s">
        <v>1090</v>
      </c>
      <c r="B230" s="6" t="s">
        <v>1177</v>
      </c>
      <c r="C230" s="11">
        <v>2026</v>
      </c>
      <c r="D230" s="6" t="s">
        <v>898</v>
      </c>
      <c r="E230" s="11">
        <v>10615560923</v>
      </c>
      <c r="F230" s="6" t="s">
        <v>899</v>
      </c>
      <c r="G230" s="6" t="s">
        <v>900</v>
      </c>
      <c r="H230" s="26">
        <v>61556092</v>
      </c>
      <c r="I230" s="26">
        <v>907741894</v>
      </c>
      <c r="J230" s="6" t="s">
        <v>487</v>
      </c>
      <c r="K230" s="7">
        <v>46188</v>
      </c>
      <c r="L230" s="11">
        <v>3</v>
      </c>
      <c r="M230" s="7">
        <f t="shared" si="32"/>
        <v>47283</v>
      </c>
      <c r="N230" s="13">
        <f t="shared" ca="1" si="33"/>
        <v>1064</v>
      </c>
      <c r="O230" s="11" t="str">
        <f t="shared" ca="1" si="34"/>
        <v>VIGENTE</v>
      </c>
      <c r="P230" s="6" t="str">
        <f t="shared" si="35"/>
        <v>10615560923 FLOWER MARÍA LIZET ALVA ALVA 61556092 907741894 0066-2026 ESTILISMO</v>
      </c>
      <c r="Q230" s="18"/>
    </row>
    <row r="231" spans="1:17" s="9" customFormat="1" ht="27.6" customHeight="1">
      <c r="A231" s="6" t="s">
        <v>1091</v>
      </c>
      <c r="B231" s="6" t="s">
        <v>1178</v>
      </c>
      <c r="C231" s="11">
        <v>2026</v>
      </c>
      <c r="D231" s="6" t="s">
        <v>901</v>
      </c>
      <c r="E231" s="11">
        <v>20612077801</v>
      </c>
      <c r="F231" s="6" t="s">
        <v>902</v>
      </c>
      <c r="G231" s="6" t="s">
        <v>903</v>
      </c>
      <c r="H231" s="26">
        <v>71776763</v>
      </c>
      <c r="I231" s="26">
        <v>972082768</v>
      </c>
      <c r="J231" s="6" t="s">
        <v>1246</v>
      </c>
      <c r="K231" s="7">
        <v>46188</v>
      </c>
      <c r="L231" s="11">
        <v>3</v>
      </c>
      <c r="M231" s="7">
        <f t="shared" si="32"/>
        <v>47283</v>
      </c>
      <c r="N231" s="13">
        <f t="shared" ca="1" si="33"/>
        <v>1064</v>
      </c>
      <c r="O231" s="11" t="str">
        <f t="shared" ca="1" si="34"/>
        <v>VIGENTE</v>
      </c>
      <c r="P231" s="6" t="str">
        <f t="shared" si="35"/>
        <v>20612077801 FORCHI JL S.A.C. JOSÉ LUIS HUAMAN LÓPEZ 71776763 972082768 0067-2026 ELECTRICIDAD</v>
      </c>
      <c r="Q231" s="18"/>
    </row>
    <row r="232" spans="1:17" s="9" customFormat="1" ht="27.6" customHeight="1">
      <c r="A232" s="6" t="s">
        <v>1092</v>
      </c>
      <c r="B232" s="6" t="s">
        <v>1179</v>
      </c>
      <c r="C232" s="11">
        <v>2026</v>
      </c>
      <c r="D232" s="6" t="s">
        <v>904</v>
      </c>
      <c r="E232" s="11">
        <v>20609555841</v>
      </c>
      <c r="F232" s="6" t="s">
        <v>905</v>
      </c>
      <c r="G232" s="6" t="s">
        <v>906</v>
      </c>
      <c r="H232" s="26">
        <v>42263418</v>
      </c>
      <c r="I232" s="26">
        <v>942969763</v>
      </c>
      <c r="J232" s="6" t="s">
        <v>1247</v>
      </c>
      <c r="K232" s="7">
        <v>46188</v>
      </c>
      <c r="L232" s="11">
        <v>3</v>
      </c>
      <c r="M232" s="7">
        <f t="shared" si="32"/>
        <v>47283</v>
      </c>
      <c r="N232" s="13">
        <f t="shared" ca="1" si="33"/>
        <v>1064</v>
      </c>
      <c r="O232" s="11" t="str">
        <f t="shared" ca="1" si="34"/>
        <v>VIGENTE</v>
      </c>
      <c r="P232" s="6" t="str">
        <f t="shared" si="35"/>
        <v>20609555841 FQA INVERSIONES BENIGNA ARANA MEDINA 42263418 942969763 0068-2026 PANIFICACIÓN INDUSTRIAL</v>
      </c>
      <c r="Q232" s="18"/>
    </row>
    <row r="233" spans="1:17" s="9" customFormat="1" ht="27.6" customHeight="1">
      <c r="A233" s="6" t="s">
        <v>1093</v>
      </c>
      <c r="B233" s="6" t="s">
        <v>1180</v>
      </c>
      <c r="C233" s="11">
        <v>2026</v>
      </c>
      <c r="D233" s="6" t="s">
        <v>907</v>
      </c>
      <c r="E233" s="11">
        <v>20496150512</v>
      </c>
      <c r="F233" s="6" t="s">
        <v>908</v>
      </c>
      <c r="G233" s="6" t="s">
        <v>909</v>
      </c>
      <c r="H233" s="26" t="s">
        <v>910</v>
      </c>
      <c r="I233" s="26" t="s">
        <v>1035</v>
      </c>
      <c r="J233" s="6" t="s">
        <v>466</v>
      </c>
      <c r="K233" s="7">
        <v>46188</v>
      </c>
      <c r="L233" s="11">
        <v>3</v>
      </c>
      <c r="M233" s="7">
        <f t="shared" si="32"/>
        <v>47283</v>
      </c>
      <c r="N233" s="13">
        <f t="shared" ca="1" si="33"/>
        <v>1064</v>
      </c>
      <c r="O233" s="11" t="str">
        <f t="shared" ca="1" si="34"/>
        <v>VIGENTE</v>
      </c>
      <c r="P233" s="6" t="str">
        <f t="shared" si="35"/>
        <v>20496150512 GRUPO COLLANTES MARÍA RUFINA HOYOS DE COLLANTES 04427907 975 173 287 0069-2026 COCINA</v>
      </c>
      <c r="Q233" s="18"/>
    </row>
    <row r="234" spans="1:17" s="9" customFormat="1" ht="27.6" customHeight="1">
      <c r="A234" s="6" t="s">
        <v>1094</v>
      </c>
      <c r="B234" s="6" t="s">
        <v>1181</v>
      </c>
      <c r="C234" s="11">
        <v>2026</v>
      </c>
      <c r="D234" s="6" t="s">
        <v>911</v>
      </c>
      <c r="E234" s="11">
        <v>10448944595</v>
      </c>
      <c r="F234" s="6" t="s">
        <v>912</v>
      </c>
      <c r="G234" s="6" t="s">
        <v>913</v>
      </c>
      <c r="H234" s="26">
        <v>44894459</v>
      </c>
      <c r="I234" s="26">
        <v>976538028</v>
      </c>
      <c r="J234" s="6" t="s">
        <v>487</v>
      </c>
      <c r="K234" s="7">
        <v>46188</v>
      </c>
      <c r="L234" s="11">
        <v>3</v>
      </c>
      <c r="M234" s="7">
        <f t="shared" si="32"/>
        <v>47283</v>
      </c>
      <c r="N234" s="13">
        <f t="shared" ca="1" si="33"/>
        <v>1064</v>
      </c>
      <c r="O234" s="11" t="str">
        <f t="shared" ca="1" si="34"/>
        <v>VIGENTE</v>
      </c>
      <c r="P234" s="6" t="str">
        <f t="shared" si="35"/>
        <v>10448944595 HABANA - BARBERÍA - SALÓN PERCY RODOLFO SEGURA GUARNIZ 44894459 976538028 0070-2026 ESTILISMO</v>
      </c>
      <c r="Q234" s="18"/>
    </row>
    <row r="235" spans="1:17" s="9" customFormat="1" ht="27.6" customHeight="1">
      <c r="A235" s="6" t="s">
        <v>1095</v>
      </c>
      <c r="B235" s="6" t="s">
        <v>1182</v>
      </c>
      <c r="C235" s="11">
        <v>2026</v>
      </c>
      <c r="D235" s="6" t="s">
        <v>914</v>
      </c>
      <c r="E235" s="11">
        <v>390443</v>
      </c>
      <c r="F235" s="6" t="s">
        <v>915</v>
      </c>
      <c r="G235" s="6" t="s">
        <v>916</v>
      </c>
      <c r="H235" s="26">
        <v>26681731</v>
      </c>
      <c r="I235" s="26">
        <v>976831049</v>
      </c>
      <c r="J235" s="6" t="s">
        <v>1245</v>
      </c>
      <c r="K235" s="7">
        <v>46188</v>
      </c>
      <c r="L235" s="11">
        <v>3</v>
      </c>
      <c r="M235" s="7">
        <f t="shared" si="32"/>
        <v>47283</v>
      </c>
      <c r="N235" s="13">
        <f t="shared" ca="1" si="33"/>
        <v>1064</v>
      </c>
      <c r="O235" s="11" t="str">
        <f t="shared" ca="1" si="34"/>
        <v>VIGENTE</v>
      </c>
      <c r="P235" s="6" t="str">
        <f t="shared" si="35"/>
        <v>390443 I.E 82949 BELEN MARTÍN RAFAEL DÁVILA DÍAZ 26681731 976831049 0071-2026 COMPUTACIÓN E INFORMÁTICA</v>
      </c>
      <c r="Q235" s="18"/>
    </row>
    <row r="236" spans="1:17" s="9" customFormat="1" ht="27.6" customHeight="1">
      <c r="A236" s="6" t="s">
        <v>1096</v>
      </c>
      <c r="B236" s="6" t="s">
        <v>1183</v>
      </c>
      <c r="C236" s="11">
        <v>2026</v>
      </c>
      <c r="D236" s="6" t="s">
        <v>917</v>
      </c>
      <c r="E236" s="11">
        <v>581355</v>
      </c>
      <c r="F236" s="6" t="s">
        <v>918</v>
      </c>
      <c r="G236" s="6" t="s">
        <v>919</v>
      </c>
      <c r="H236" s="26">
        <v>26699135</v>
      </c>
      <c r="I236" s="26">
        <v>991258930</v>
      </c>
      <c r="J236" s="6" t="s">
        <v>1245</v>
      </c>
      <c r="K236" s="7">
        <v>46188</v>
      </c>
      <c r="L236" s="11">
        <v>3</v>
      </c>
      <c r="M236" s="7">
        <f t="shared" si="32"/>
        <v>47283</v>
      </c>
      <c r="N236" s="13">
        <f t="shared" ca="1" si="33"/>
        <v>1064</v>
      </c>
      <c r="O236" s="11" t="str">
        <f t="shared" ca="1" si="34"/>
        <v>VIGENTE</v>
      </c>
      <c r="P236" s="6" t="str">
        <f t="shared" si="35"/>
        <v>581355 I.E. SAN JOSE JOSÉ IVÁN CASTAÑEDA GUTIÉRREZ 26699135 991258930 0072-2026 COMPUTACIÓN E INFORMÁTICA</v>
      </c>
      <c r="Q236" s="18"/>
    </row>
    <row r="237" spans="1:17" s="9" customFormat="1" ht="27.6" customHeight="1">
      <c r="A237" s="6" t="s">
        <v>1097</v>
      </c>
      <c r="B237" s="6" t="s">
        <v>1184</v>
      </c>
      <c r="C237" s="11">
        <v>2026</v>
      </c>
      <c r="D237" s="6" t="s">
        <v>920</v>
      </c>
      <c r="E237" s="11">
        <v>20495873502</v>
      </c>
      <c r="F237" s="6" t="s">
        <v>921</v>
      </c>
      <c r="G237" s="6" t="s">
        <v>922</v>
      </c>
      <c r="H237" s="26">
        <v>42381072</v>
      </c>
      <c r="I237" s="26">
        <v>976184302</v>
      </c>
      <c r="J237" s="6" t="s">
        <v>1246</v>
      </c>
      <c r="K237" s="7">
        <v>46188</v>
      </c>
      <c r="L237" s="11">
        <v>3</v>
      </c>
      <c r="M237" s="7">
        <f t="shared" si="32"/>
        <v>47283</v>
      </c>
      <c r="N237" s="13">
        <f t="shared" ca="1" si="33"/>
        <v>1064</v>
      </c>
      <c r="O237" s="11" t="str">
        <f t="shared" ca="1" si="34"/>
        <v>VIGENTE</v>
      </c>
      <c r="P237" s="6" t="str">
        <f t="shared" si="35"/>
        <v>20495873502 IMPRESIONES EL GRAFICO EIRL EDITA CORINA TERRONES VASQUEZ 42381072 976184302 0073-2026 ELECTRICIDAD</v>
      </c>
      <c r="Q237" s="18"/>
    </row>
    <row r="238" spans="1:17" s="9" customFormat="1" ht="27.6" customHeight="1">
      <c r="A238" s="6" t="s">
        <v>1098</v>
      </c>
      <c r="B238" s="6" t="s">
        <v>1185</v>
      </c>
      <c r="C238" s="11">
        <v>2026</v>
      </c>
      <c r="D238" s="6" t="s">
        <v>923</v>
      </c>
      <c r="E238" s="11">
        <v>20611830808</v>
      </c>
      <c r="F238" s="6" t="s">
        <v>924</v>
      </c>
      <c r="G238" s="6" t="s">
        <v>925</v>
      </c>
      <c r="H238" s="26">
        <v>43206514</v>
      </c>
      <c r="I238" s="26">
        <v>917373950</v>
      </c>
      <c r="J238" s="6" t="s">
        <v>1247</v>
      </c>
      <c r="K238" s="7">
        <v>46188</v>
      </c>
      <c r="L238" s="11">
        <v>3</v>
      </c>
      <c r="M238" s="7">
        <f t="shared" si="32"/>
        <v>47283</v>
      </c>
      <c r="N238" s="13">
        <f t="shared" ca="1" si="33"/>
        <v>1064</v>
      </c>
      <c r="O238" s="11" t="str">
        <f t="shared" ca="1" si="34"/>
        <v>VIGENTE</v>
      </c>
      <c r="P238" s="6" t="str">
        <f t="shared" si="35"/>
        <v>20611830808 INDUSTRIA PANIFICADORA BENJAFRUTI E.I.R.L ABNER TONY LLANOS CORTEGANA 43206514 917373950 0074-2026 PANIFICACIÓN INDUSTRIAL</v>
      </c>
      <c r="Q238" s="18"/>
    </row>
    <row r="239" spans="1:17" s="9" customFormat="1" ht="27.6" customHeight="1">
      <c r="A239" s="6" t="s">
        <v>1099</v>
      </c>
      <c r="B239" s="6" t="s">
        <v>1186</v>
      </c>
      <c r="C239" s="11">
        <v>2026</v>
      </c>
      <c r="D239" s="6" t="s">
        <v>926</v>
      </c>
      <c r="E239" s="11">
        <v>20612964557</v>
      </c>
      <c r="F239" s="6" t="s">
        <v>927</v>
      </c>
      <c r="G239" s="6" t="s">
        <v>928</v>
      </c>
      <c r="H239" s="26">
        <v>42083603</v>
      </c>
      <c r="I239" s="26">
        <v>956340047</v>
      </c>
      <c r="J239" s="6" t="s">
        <v>1247</v>
      </c>
      <c r="K239" s="7">
        <v>46188</v>
      </c>
      <c r="L239" s="11">
        <v>3</v>
      </c>
      <c r="M239" s="7">
        <f t="shared" si="32"/>
        <v>47283</v>
      </c>
      <c r="N239" s="13">
        <f t="shared" ca="1" si="33"/>
        <v>1064</v>
      </c>
      <c r="O239" s="11" t="str">
        <f t="shared" ca="1" si="34"/>
        <v>VIGENTE</v>
      </c>
      <c r="P239" s="6" t="str">
        <f t="shared" si="35"/>
        <v>20612964557 INDUSTRIAS ALIMENTARIAS VILLA LAC E.I.R.L MARITZA AZAÑERO LLANOS 42083603 956340047 0075-2026 PANIFICACIÓN INDUSTRIAL</v>
      </c>
      <c r="Q239" s="18"/>
    </row>
    <row r="240" spans="1:17" s="9" customFormat="1" ht="27.6" customHeight="1">
      <c r="A240" s="6" t="s">
        <v>1100</v>
      </c>
      <c r="B240" s="6" t="s">
        <v>1187</v>
      </c>
      <c r="C240" s="11">
        <v>2026</v>
      </c>
      <c r="D240" s="6" t="s">
        <v>929</v>
      </c>
      <c r="E240" s="11">
        <v>20610124756</v>
      </c>
      <c r="F240" s="6" t="s">
        <v>930</v>
      </c>
      <c r="G240" s="6" t="s">
        <v>931</v>
      </c>
      <c r="H240" s="26">
        <v>28124688</v>
      </c>
      <c r="I240" s="26">
        <v>997974197</v>
      </c>
      <c r="J240" s="6" t="s">
        <v>1245</v>
      </c>
      <c r="K240" s="7">
        <v>46188</v>
      </c>
      <c r="L240" s="11">
        <v>3</v>
      </c>
      <c r="M240" s="7">
        <f t="shared" si="32"/>
        <v>47283</v>
      </c>
      <c r="N240" s="13">
        <f t="shared" ca="1" si="33"/>
        <v>1064</v>
      </c>
      <c r="O240" s="11" t="str">
        <f t="shared" ca="1" si="34"/>
        <v>VIGENTE</v>
      </c>
      <c r="P240" s="6" t="str">
        <f t="shared" si="35"/>
        <v>20610124756 INFOFLORES COMPUTER S.A.C ESAU FLORES VILLOSLADA 28124688 997974197 0076-2026 COMPUTACIÓN E INFORMÁTICA</v>
      </c>
      <c r="Q240" s="18"/>
    </row>
    <row r="241" spans="1:17" s="9" customFormat="1" ht="27.6" customHeight="1">
      <c r="A241" s="6" t="s">
        <v>1101</v>
      </c>
      <c r="B241" s="6" t="s">
        <v>1188</v>
      </c>
      <c r="C241" s="11">
        <v>2026</v>
      </c>
      <c r="D241" s="6" t="s">
        <v>932</v>
      </c>
      <c r="E241" s="11">
        <v>20496096631</v>
      </c>
      <c r="F241" s="6" t="s">
        <v>933</v>
      </c>
      <c r="G241" s="6" t="s">
        <v>934</v>
      </c>
      <c r="H241" s="26">
        <v>40513929</v>
      </c>
      <c r="I241" s="26">
        <v>976756090</v>
      </c>
      <c r="J241" s="6" t="s">
        <v>1245</v>
      </c>
      <c r="K241" s="7">
        <v>46188</v>
      </c>
      <c r="L241" s="11">
        <v>3</v>
      </c>
      <c r="M241" s="7">
        <f t="shared" si="32"/>
        <v>47283</v>
      </c>
      <c r="N241" s="13">
        <f t="shared" ca="1" si="33"/>
        <v>1064</v>
      </c>
      <c r="O241" s="11" t="str">
        <f t="shared" ca="1" si="34"/>
        <v>VIGENTE</v>
      </c>
      <c r="P241" s="6" t="str">
        <f t="shared" si="35"/>
        <v>20496096631 INSTITUTO DE SALUD ABAT WILHELM SARMIENTO CHÁVEZ 40513929 976756090 0077-2026 COMPUTACIÓN E INFORMÁTICA</v>
      </c>
      <c r="Q241" s="18"/>
    </row>
    <row r="242" spans="1:17" s="22" customFormat="1" ht="27.6" customHeight="1">
      <c r="A242" s="6" t="s">
        <v>1101</v>
      </c>
      <c r="B242" s="6" t="s">
        <v>1188</v>
      </c>
      <c r="C242" s="11">
        <v>2026</v>
      </c>
      <c r="D242" s="6" t="s">
        <v>938</v>
      </c>
      <c r="E242" s="11">
        <v>10424502796</v>
      </c>
      <c r="F242" s="6" t="s">
        <v>939</v>
      </c>
      <c r="G242" s="6" t="s">
        <v>940</v>
      </c>
      <c r="H242" s="26">
        <v>42450279</v>
      </c>
      <c r="I242" s="26">
        <v>963842769</v>
      </c>
      <c r="J242" s="6" t="s">
        <v>487</v>
      </c>
      <c r="K242" s="7">
        <v>46188</v>
      </c>
      <c r="L242" s="11">
        <v>3</v>
      </c>
      <c r="M242" s="7">
        <f t="shared" si="32"/>
        <v>47283</v>
      </c>
      <c r="N242" s="13">
        <f t="shared" ca="1" si="33"/>
        <v>1064</v>
      </c>
      <c r="O242" s="11" t="str">
        <f t="shared" ca="1" si="34"/>
        <v>VIGENTE</v>
      </c>
      <c r="P242" s="6" t="str">
        <f t="shared" si="35"/>
        <v>10424502796 JHULIANA BOUTIQUE SALÓN Y SPA
 JHULIANA LLAQUE ZOCÓN 42450279 963842769 0077-2026 ESTILISMO</v>
      </c>
      <c r="Q242" s="18"/>
    </row>
    <row r="243" spans="1:17" s="9" customFormat="1" ht="27.6" customHeight="1">
      <c r="A243" s="6" t="s">
        <v>1102</v>
      </c>
      <c r="B243" s="6" t="s">
        <v>1189</v>
      </c>
      <c r="C243" s="11">
        <v>2026</v>
      </c>
      <c r="D243" s="6" t="s">
        <v>935</v>
      </c>
      <c r="E243" s="11">
        <v>20610254331</v>
      </c>
      <c r="F243" s="6" t="s">
        <v>936</v>
      </c>
      <c r="G243" s="6" t="s">
        <v>937</v>
      </c>
      <c r="H243" s="26"/>
      <c r="I243" s="26">
        <v>976843333</v>
      </c>
      <c r="J243" s="6" t="s">
        <v>466</v>
      </c>
      <c r="K243" s="7">
        <v>46188</v>
      </c>
      <c r="L243" s="11">
        <v>3</v>
      </c>
      <c r="M243" s="7">
        <f t="shared" si="32"/>
        <v>47283</v>
      </c>
      <c r="N243" s="13">
        <f t="shared" ca="1" si="33"/>
        <v>1064</v>
      </c>
      <c r="O243" s="11" t="str">
        <f t="shared" ca="1" si="34"/>
        <v>VIGENTE</v>
      </c>
      <c r="P243" s="6" t="str">
        <f t="shared" si="35"/>
        <v>20610254331 INVERSIONES MATU SAC EDUARDO MATTO GUARDIA 976843333 0078-2026 COCINA</v>
      </c>
      <c r="Q243" s="18"/>
    </row>
    <row r="244" spans="1:17" s="9" customFormat="1" ht="27.6" customHeight="1">
      <c r="A244" s="6" t="s">
        <v>1103</v>
      </c>
      <c r="B244" s="6" t="s">
        <v>1190</v>
      </c>
      <c r="C244" s="11">
        <v>2026</v>
      </c>
      <c r="D244" s="6" t="s">
        <v>941</v>
      </c>
      <c r="E244" s="11">
        <v>10434562282</v>
      </c>
      <c r="F244" s="6" t="s">
        <v>942</v>
      </c>
      <c r="G244" s="6" t="s">
        <v>943</v>
      </c>
      <c r="H244" s="26">
        <v>43456228</v>
      </c>
      <c r="I244" s="26">
        <v>913341573</v>
      </c>
      <c r="J244" s="6" t="s">
        <v>466</v>
      </c>
      <c r="K244" s="7">
        <v>46188</v>
      </c>
      <c r="L244" s="11">
        <v>3</v>
      </c>
      <c r="M244" s="7">
        <f t="shared" ref="M244:M275" si="36">IF(OR(K244="",L244=""),"",DATE(YEAR(K244)+L244,MONTH(K244),DAY(K244))-1)</f>
        <v>47283</v>
      </c>
      <c r="N244" s="13">
        <f t="shared" ref="N244:N275" ca="1" si="37">IF(M244="","",M244-TODAY())</f>
        <v>1064</v>
      </c>
      <c r="O244" s="11" t="str">
        <f t="shared" ref="O244:O251" ca="1" si="38">IF(M244="","SIN FECHA",IF(M244&lt;TODAY(),"VENCIDO",IF(M244-TODAY()&lt;=30,"POR VENCER","VIGENTE")))</f>
        <v>VIGENTE</v>
      </c>
      <c r="P244" s="6" t="str">
        <f t="shared" ref="P244:P251" si="39">UPPER(TRIM(E244&amp;" "&amp;D244&amp;" "&amp;G244&amp;" "&amp;H244&amp;" "&amp;I244&amp;" "&amp;B244&amp;" "&amp;J244))</f>
        <v>10434562282 KAIKA RESTOBAR YANET CHARITO ALFARO CARDENAS 43456228 913341573 0080-2026 COCINA</v>
      </c>
      <c r="Q244" s="18"/>
    </row>
    <row r="245" spans="1:17" s="9" customFormat="1" ht="27.6" customHeight="1">
      <c r="A245" s="6" t="s">
        <v>1104</v>
      </c>
      <c r="B245" s="6" t="s">
        <v>1191</v>
      </c>
      <c r="C245" s="11">
        <v>2026</v>
      </c>
      <c r="D245" s="6" t="s">
        <v>944</v>
      </c>
      <c r="E245" s="11">
        <v>10734399065</v>
      </c>
      <c r="F245" s="6" t="s">
        <v>945</v>
      </c>
      <c r="G245" s="6" t="s">
        <v>946</v>
      </c>
      <c r="H245" s="26">
        <v>73439906</v>
      </c>
      <c r="I245" s="26">
        <v>988266645</v>
      </c>
      <c r="J245" s="6" t="s">
        <v>487</v>
      </c>
      <c r="K245" s="7">
        <v>46188</v>
      </c>
      <c r="L245" s="11">
        <v>3</v>
      </c>
      <c r="M245" s="7">
        <f t="shared" si="36"/>
        <v>47283</v>
      </c>
      <c r="N245" s="13">
        <f t="shared" ca="1" si="37"/>
        <v>1064</v>
      </c>
      <c r="O245" s="11" t="str">
        <f t="shared" ca="1" si="38"/>
        <v>VIGENTE</v>
      </c>
      <c r="P245" s="6" t="str">
        <f t="shared" si="39"/>
        <v>10734399065 KING BARBER SPA YON LENER LLATAS IZQUIERDO 73439906 988266645 0081-2026 ESTILISMO</v>
      </c>
      <c r="Q245" s="18"/>
    </row>
    <row r="246" spans="1:17" s="9" customFormat="1" ht="27.6" customHeight="1">
      <c r="A246" s="6" t="s">
        <v>1105</v>
      </c>
      <c r="B246" s="6" t="s">
        <v>1197</v>
      </c>
      <c r="C246" s="11">
        <v>2026</v>
      </c>
      <c r="D246" s="6" t="s">
        <v>947</v>
      </c>
      <c r="E246" s="11">
        <v>10490418801</v>
      </c>
      <c r="F246" s="6" t="s">
        <v>948</v>
      </c>
      <c r="G246" s="6" t="s">
        <v>949</v>
      </c>
      <c r="H246" s="26">
        <v>49041880</v>
      </c>
      <c r="I246" s="26">
        <v>927008125</v>
      </c>
      <c r="J246" s="6" t="s">
        <v>1244</v>
      </c>
      <c r="K246" s="7">
        <v>46188</v>
      </c>
      <c r="L246" s="11">
        <v>3</v>
      </c>
      <c r="M246" s="7">
        <f t="shared" si="36"/>
        <v>47283</v>
      </c>
      <c r="N246" s="13">
        <f t="shared" ca="1" si="37"/>
        <v>1064</v>
      </c>
      <c r="O246" s="11" t="str">
        <f t="shared" ca="1" si="38"/>
        <v>VIGENTE</v>
      </c>
      <c r="P246" s="6" t="str">
        <f t="shared" si="39"/>
        <v>10490418801 KLETOS MARKET FIORELLA ASTRID CERNA MALVAS 49041880 927008125 0082-2026 ADMINISTRACIÓN Y COMERCIO</v>
      </c>
      <c r="Q246" s="18"/>
    </row>
    <row r="247" spans="1:17" s="9" customFormat="1" ht="27.6" customHeight="1">
      <c r="A247" s="6" t="s">
        <v>1106</v>
      </c>
      <c r="B247" s="6" t="s">
        <v>1192</v>
      </c>
      <c r="C247" s="11">
        <v>2026</v>
      </c>
      <c r="D247" s="6" t="s">
        <v>950</v>
      </c>
      <c r="E247" s="11">
        <v>20609485044</v>
      </c>
      <c r="F247" s="6" t="s">
        <v>951</v>
      </c>
      <c r="G247" s="6" t="s">
        <v>843</v>
      </c>
      <c r="H247" s="26">
        <v>43556387</v>
      </c>
      <c r="I247" s="26">
        <v>957345954</v>
      </c>
      <c r="J247" s="6" t="s">
        <v>466</v>
      </c>
      <c r="K247" s="7">
        <v>46188</v>
      </c>
      <c r="L247" s="11">
        <v>3</v>
      </c>
      <c r="M247" s="7">
        <f t="shared" si="36"/>
        <v>47283</v>
      </c>
      <c r="N247" s="13">
        <f t="shared" ca="1" si="37"/>
        <v>1064</v>
      </c>
      <c r="O247" s="11" t="str">
        <f t="shared" ca="1" si="38"/>
        <v>VIGENTE</v>
      </c>
      <c r="P247" s="6" t="str">
        <f t="shared" si="39"/>
        <v>20609485044 KONOHA LEONARDO VÁSQUEZ ALBURUQUEQUE 43556387 957345954 0083-2026 COCINA</v>
      </c>
      <c r="Q247" s="18"/>
    </row>
    <row r="248" spans="1:17" s="9" customFormat="1" ht="27.6" customHeight="1">
      <c r="A248" s="6" t="s">
        <v>1107</v>
      </c>
      <c r="B248" s="6" t="s">
        <v>1193</v>
      </c>
      <c r="C248" s="11">
        <v>2026</v>
      </c>
      <c r="D248" s="6" t="s">
        <v>952</v>
      </c>
      <c r="E248" s="11">
        <v>10267042948</v>
      </c>
      <c r="F248" s="6" t="s">
        <v>953</v>
      </c>
      <c r="G248" s="6" t="s">
        <v>954</v>
      </c>
      <c r="H248" s="26">
        <v>67042948</v>
      </c>
      <c r="I248" s="26">
        <v>975354776</v>
      </c>
      <c r="J248" s="6" t="s">
        <v>466</v>
      </c>
      <c r="K248" s="7">
        <v>46188</v>
      </c>
      <c r="L248" s="11">
        <v>3</v>
      </c>
      <c r="M248" s="7">
        <f t="shared" si="36"/>
        <v>47283</v>
      </c>
      <c r="N248" s="13">
        <f t="shared" ca="1" si="37"/>
        <v>1064</v>
      </c>
      <c r="O248" s="11" t="str">
        <f t="shared" ca="1" si="38"/>
        <v>VIGENTE</v>
      </c>
      <c r="P248" s="6" t="str">
        <f t="shared" si="39"/>
        <v>10267042948 LA TIA LUCHITA ROSA FLOR GARCÍA VARGAS 67042948 975354776 0084-2026 COCINA</v>
      </c>
      <c r="Q248" s="18"/>
    </row>
    <row r="249" spans="1:17" s="22" customFormat="1" ht="27.6" customHeight="1">
      <c r="A249" s="6" t="s">
        <v>1108</v>
      </c>
      <c r="B249" s="6" t="s">
        <v>1194</v>
      </c>
      <c r="C249" s="11">
        <v>2026</v>
      </c>
      <c r="D249" s="6" t="s">
        <v>961</v>
      </c>
      <c r="E249" s="11">
        <v>10467204411</v>
      </c>
      <c r="F249" s="6" t="s">
        <v>962</v>
      </c>
      <c r="G249" s="6" t="s">
        <v>963</v>
      </c>
      <c r="H249" s="26">
        <v>46720441</v>
      </c>
      <c r="I249" s="26">
        <v>964881014</v>
      </c>
      <c r="J249" s="6" t="s">
        <v>487</v>
      </c>
      <c r="K249" s="7">
        <v>46188</v>
      </c>
      <c r="L249" s="11">
        <v>3</v>
      </c>
      <c r="M249" s="7">
        <f t="shared" si="36"/>
        <v>47283</v>
      </c>
      <c r="N249" s="13">
        <f t="shared" ca="1" si="37"/>
        <v>1064</v>
      </c>
      <c r="O249" s="11" t="str">
        <f t="shared" ca="1" si="38"/>
        <v>VIGENTE</v>
      </c>
      <c r="P249" s="6" t="str">
        <f t="shared" si="39"/>
        <v>10467204411 MAVA ESTILOS SALÓN &amp; SPA MARÍA ALEJOS MORALES 46720441 964881014 0085-2026 ESTILISMO</v>
      </c>
      <c r="Q249" s="18" t="s">
        <v>1235</v>
      </c>
    </row>
    <row r="250" spans="1:17" s="9" customFormat="1" ht="27.6" customHeight="1">
      <c r="A250" s="6" t="s">
        <v>1108</v>
      </c>
      <c r="B250" s="6" t="s">
        <v>1194</v>
      </c>
      <c r="C250" s="11">
        <v>2026</v>
      </c>
      <c r="D250" s="6" t="s">
        <v>955</v>
      </c>
      <c r="E250" s="11">
        <v>10734505782</v>
      </c>
      <c r="F250" s="6" t="s">
        <v>956</v>
      </c>
      <c r="G250" s="6" t="s">
        <v>957</v>
      </c>
      <c r="H250" s="26">
        <v>73440578</v>
      </c>
      <c r="I250" s="26">
        <v>968251996</v>
      </c>
      <c r="J250" s="6" t="s">
        <v>487</v>
      </c>
      <c r="K250" s="7">
        <v>46188</v>
      </c>
      <c r="L250" s="11">
        <v>3</v>
      </c>
      <c r="M250" s="7">
        <f t="shared" si="36"/>
        <v>47283</v>
      </c>
      <c r="N250" s="13">
        <f t="shared" ca="1" si="37"/>
        <v>1064</v>
      </c>
      <c r="O250" s="11" t="str">
        <f t="shared" ca="1" si="38"/>
        <v>VIGENTE</v>
      </c>
      <c r="P250" s="6" t="str">
        <f t="shared" si="39"/>
        <v>10734505782 MAGY'S HAIR SALÓN ROCÍO MAGALY LÓPEZ CHUQUILIN 73440578 968251996 0085-2026 ESTILISMO</v>
      </c>
      <c r="Q250" s="18"/>
    </row>
    <row r="251" spans="1:17" s="9" customFormat="1" ht="27.6" customHeight="1">
      <c r="A251" s="6" t="s">
        <v>1109</v>
      </c>
      <c r="B251" s="6" t="s">
        <v>1195</v>
      </c>
      <c r="C251" s="11">
        <v>2026</v>
      </c>
      <c r="D251" s="6" t="s">
        <v>958</v>
      </c>
      <c r="E251" s="11">
        <v>10453878789</v>
      </c>
      <c r="F251" s="6" t="s">
        <v>959</v>
      </c>
      <c r="G251" s="6" t="s">
        <v>960</v>
      </c>
      <c r="H251" s="26">
        <v>45387878</v>
      </c>
      <c r="I251" s="26" t="s">
        <v>1036</v>
      </c>
      <c r="J251" s="6" t="s">
        <v>487</v>
      </c>
      <c r="K251" s="7">
        <v>46188</v>
      </c>
      <c r="L251" s="11">
        <v>3</v>
      </c>
      <c r="M251" s="7">
        <f t="shared" si="36"/>
        <v>47283</v>
      </c>
      <c r="N251" s="13">
        <f t="shared" ca="1" si="37"/>
        <v>1064</v>
      </c>
      <c r="O251" s="11" t="str">
        <f t="shared" ca="1" si="38"/>
        <v>VIGENTE</v>
      </c>
      <c r="P251" s="6" t="str">
        <f t="shared" si="39"/>
        <v>10453878789 MAJU GIMENA SALÓN &amp; SPÁ ELSA DÍAZ VILLALOBOS 45387878 900729886/937508113 0086-2026 ESTILISMO</v>
      </c>
      <c r="Q251" s="18"/>
    </row>
    <row r="252" spans="1:17" s="22" customFormat="1" ht="27.6" customHeight="1">
      <c r="A252" s="30" t="s">
        <v>1110</v>
      </c>
      <c r="B252" s="30" t="s">
        <v>1196</v>
      </c>
      <c r="C252" s="31">
        <v>2026</v>
      </c>
      <c r="D252" s="30" t="s">
        <v>484</v>
      </c>
      <c r="E252" s="31">
        <v>10474790920</v>
      </c>
      <c r="F252" s="30" t="s">
        <v>967</v>
      </c>
      <c r="G252" s="30" t="s">
        <v>968</v>
      </c>
      <c r="H252" s="32">
        <v>47470909</v>
      </c>
      <c r="I252" s="32">
        <v>993759147</v>
      </c>
      <c r="J252" s="30" t="s">
        <v>487</v>
      </c>
      <c r="K252" s="33">
        <v>46188</v>
      </c>
      <c r="L252" s="31">
        <v>3</v>
      </c>
      <c r="M252" s="33">
        <v>47283</v>
      </c>
      <c r="N252" s="34">
        <v>1064</v>
      </c>
      <c r="O252" s="31" t="s">
        <v>29</v>
      </c>
      <c r="P252" s="30" t="s">
        <v>1236</v>
      </c>
      <c r="Q252" s="18"/>
    </row>
    <row r="253" spans="1:17" s="9" customFormat="1" ht="27.6" customHeight="1">
      <c r="A253" s="6" t="s">
        <v>1085</v>
      </c>
      <c r="B253" s="6" t="s">
        <v>1171</v>
      </c>
      <c r="C253" s="11">
        <v>2026</v>
      </c>
      <c r="D253" s="6" t="s">
        <v>884</v>
      </c>
      <c r="E253" s="11">
        <v>10419258623</v>
      </c>
      <c r="F253" s="6" t="s">
        <v>885</v>
      </c>
      <c r="G253" s="6" t="s">
        <v>886</v>
      </c>
      <c r="H253" s="26">
        <v>41925862</v>
      </c>
      <c r="I253" s="26">
        <v>985138741</v>
      </c>
      <c r="J253" s="6" t="s">
        <v>487</v>
      </c>
      <c r="K253" s="7">
        <v>46188</v>
      </c>
      <c r="L253" s="11">
        <v>3</v>
      </c>
      <c r="M253" s="7">
        <f t="shared" ref="M253:M258" si="40">IF(OR(K253="",L253=""),"",DATE(YEAR(K253)+L253,MONTH(K253),DAY(K253))-1)</f>
        <v>47283</v>
      </c>
      <c r="N253" s="13">
        <f t="shared" ref="N253:N258" ca="1" si="41">IF(M253="","",M253-TODAY())</f>
        <v>1064</v>
      </c>
      <c r="O253" s="11" t="str">
        <f t="shared" ref="O253:O258" ca="1" si="42">IF(M253="","SIN FECHA",IF(M253&lt;TODAY(),"VENCIDO",IF(M253-TODAY()&lt;=30,"POR VENCER","VIGENTE")))</f>
        <v>VIGENTE</v>
      </c>
      <c r="P253" s="6" t="str">
        <f t="shared" ref="P253:P258" si="43">UPPER(TRIM(E253&amp;" "&amp;D253&amp;" "&amp;G253&amp;" "&amp;H253&amp;" "&amp;I253&amp;" "&amp;B253&amp;" "&amp;J253))</f>
        <v>10419258623 DIESTRA SPA Y ACADEMIA DE UÑAS DEISY ANABEL DÍAZ ESTRADA 41925862 985138741 0059-2026 ESTILISMO</v>
      </c>
      <c r="Q253" s="18" t="s">
        <v>1235</v>
      </c>
    </row>
    <row r="254" spans="1:17" s="9" customFormat="1" ht="27.6" customHeight="1">
      <c r="A254" s="6" t="s">
        <v>1111</v>
      </c>
      <c r="B254" s="6" t="s">
        <v>1198</v>
      </c>
      <c r="C254" s="11">
        <v>2026</v>
      </c>
      <c r="D254" s="6" t="s">
        <v>964</v>
      </c>
      <c r="E254" s="11">
        <v>20600509820</v>
      </c>
      <c r="F254" s="6" t="s">
        <v>965</v>
      </c>
      <c r="G254" s="6" t="s">
        <v>966</v>
      </c>
      <c r="H254" s="26">
        <v>45459272</v>
      </c>
      <c r="I254" s="26">
        <v>965220472</v>
      </c>
      <c r="J254" s="6" t="s">
        <v>1246</v>
      </c>
      <c r="K254" s="7">
        <v>46188</v>
      </c>
      <c r="L254" s="11">
        <v>3</v>
      </c>
      <c r="M254" s="7">
        <f t="shared" si="40"/>
        <v>47283</v>
      </c>
      <c r="N254" s="13">
        <f t="shared" ca="1" si="41"/>
        <v>1064</v>
      </c>
      <c r="O254" s="11" t="str">
        <f t="shared" ca="1" si="42"/>
        <v>VIGENTE</v>
      </c>
      <c r="P254" s="6" t="str">
        <f t="shared" si="43"/>
        <v>20600509820 MINERIA Y CONSTRUCCIÓN SIMAS ANDINA SERVICIO GENERALES SRL ALCIDES QUIRÓZ FLORES 45459272 965220472 0088-2026 ELECTRICIDAD</v>
      </c>
      <c r="Q254" s="18"/>
    </row>
    <row r="255" spans="1:17" s="9" customFormat="1" ht="27.6" customHeight="1">
      <c r="A255" s="6" t="s">
        <v>1112</v>
      </c>
      <c r="B255" s="6" t="s">
        <v>1199</v>
      </c>
      <c r="C255" s="11">
        <v>2026</v>
      </c>
      <c r="D255" s="6" t="s">
        <v>972</v>
      </c>
      <c r="E255" s="11">
        <v>10448990597</v>
      </c>
      <c r="F255" s="6" t="s">
        <v>973</v>
      </c>
      <c r="G255" s="6" t="s">
        <v>974</v>
      </c>
      <c r="H255" s="26">
        <v>44899059</v>
      </c>
      <c r="I255" s="26">
        <v>983238764</v>
      </c>
      <c r="J255" s="6" t="s">
        <v>466</v>
      </c>
      <c r="K255" s="7">
        <v>46188</v>
      </c>
      <c r="L255" s="11">
        <v>3</v>
      </c>
      <c r="M255" s="7">
        <f t="shared" si="40"/>
        <v>47283</v>
      </c>
      <c r="N255" s="13">
        <f t="shared" ca="1" si="41"/>
        <v>1064</v>
      </c>
      <c r="O255" s="11" t="str">
        <f t="shared" ca="1" si="42"/>
        <v>VIGENTE</v>
      </c>
      <c r="P255" s="6" t="str">
        <f t="shared" si="43"/>
        <v>10448990597 MULATO ANTICUCHERO ROBERT LAZARTE PONCE 44899059 983238764 0091-2026 COCINA</v>
      </c>
      <c r="Q255" s="18"/>
    </row>
    <row r="256" spans="1:17" s="9" customFormat="1" ht="27.6" customHeight="1">
      <c r="A256" s="6" t="s">
        <v>1113</v>
      </c>
      <c r="B256" s="6" t="s">
        <v>1200</v>
      </c>
      <c r="C256" s="11">
        <v>2026</v>
      </c>
      <c r="D256" s="6" t="s">
        <v>975</v>
      </c>
      <c r="E256" s="11">
        <v>10467310301</v>
      </c>
      <c r="F256" s="6" t="s">
        <v>976</v>
      </c>
      <c r="G256" s="6" t="s">
        <v>977</v>
      </c>
      <c r="H256" s="26">
        <v>46731030</v>
      </c>
      <c r="I256" s="26">
        <v>976464619</v>
      </c>
      <c r="J256" s="6" t="s">
        <v>1245</v>
      </c>
      <c r="K256" s="7">
        <v>46188</v>
      </c>
      <c r="L256" s="11">
        <v>3</v>
      </c>
      <c r="M256" s="7">
        <f t="shared" si="40"/>
        <v>47283</v>
      </c>
      <c r="N256" s="13">
        <f t="shared" ca="1" si="41"/>
        <v>1064</v>
      </c>
      <c r="O256" s="11" t="str">
        <f t="shared" ca="1" si="42"/>
        <v>VIGENTE</v>
      </c>
      <c r="P256" s="6" t="str">
        <f t="shared" si="43"/>
        <v>10467310301 MULTISERVICIOS CHIROQUE LEO ALBERT CHIROQUE BRUNO 46731030 976464619 0092-2026 COMPUTACIÓN E INFORMÁTICA</v>
      </c>
      <c r="Q256" s="18"/>
    </row>
    <row r="257" spans="1:17" s="22" customFormat="1" ht="27.6" customHeight="1">
      <c r="A257" s="6" t="s">
        <v>1113</v>
      </c>
      <c r="B257" s="6" t="s">
        <v>1200</v>
      </c>
      <c r="C257" s="11">
        <v>2026</v>
      </c>
      <c r="D257" s="29" t="s">
        <v>1216</v>
      </c>
      <c r="E257" s="11">
        <v>10165184756</v>
      </c>
      <c r="F257" s="6" t="s">
        <v>980</v>
      </c>
      <c r="G257" s="6" t="s">
        <v>981</v>
      </c>
      <c r="H257" s="26">
        <v>16518475</v>
      </c>
      <c r="I257" s="26">
        <v>976878056</v>
      </c>
      <c r="J257" s="6" t="s">
        <v>487</v>
      </c>
      <c r="K257" s="7">
        <v>46188</v>
      </c>
      <c r="L257" s="11">
        <v>3</v>
      </c>
      <c r="M257" s="7">
        <f t="shared" si="40"/>
        <v>47283</v>
      </c>
      <c r="N257" s="13">
        <f t="shared" ca="1" si="41"/>
        <v>1064</v>
      </c>
      <c r="O257" s="11" t="str">
        <f t="shared" ca="1" si="42"/>
        <v>VIGENTE</v>
      </c>
      <c r="P257" s="6" t="str">
        <f t="shared" si="43"/>
        <v>10165184756 OLIVOS SPA DOMINGO AGÜERO OLIVOS 16518475 976878056 0092-2026 ESTILISMO</v>
      </c>
      <c r="Q257" s="18" t="s">
        <v>1235</v>
      </c>
    </row>
    <row r="258" spans="1:17" s="9" customFormat="1" ht="27.6" customHeight="1">
      <c r="A258" s="6" t="s">
        <v>1114</v>
      </c>
      <c r="B258" s="6" t="s">
        <v>1201</v>
      </c>
      <c r="C258" s="11">
        <v>2026</v>
      </c>
      <c r="D258" s="6" t="s">
        <v>727</v>
      </c>
      <c r="E258" s="11">
        <v>10459347297</v>
      </c>
      <c r="F258" s="6" t="s">
        <v>978</v>
      </c>
      <c r="G258" s="6" t="s">
        <v>979</v>
      </c>
      <c r="H258" s="26">
        <v>45934729</v>
      </c>
      <c r="I258" s="26">
        <v>918168585</v>
      </c>
      <c r="J258" s="6" t="s">
        <v>487</v>
      </c>
      <c r="K258" s="7">
        <v>46188</v>
      </c>
      <c r="L258" s="11">
        <v>3</v>
      </c>
      <c r="M258" s="7">
        <f t="shared" si="40"/>
        <v>47283</v>
      </c>
      <c r="N258" s="13">
        <f t="shared" ca="1" si="41"/>
        <v>1064</v>
      </c>
      <c r="O258" s="11" t="str">
        <f t="shared" ca="1" si="42"/>
        <v>VIGENTE</v>
      </c>
      <c r="P258" s="6" t="str">
        <f t="shared" si="43"/>
        <v>10459347297 NOLBERT BEAUTY STUDIO NOLBERT YACOPAICO VÁSQUEZ 45934729 918168585 0093-2026 ESTILISMO</v>
      </c>
      <c r="Q258" s="18"/>
    </row>
    <row r="259" spans="1:17" s="22" customFormat="1" ht="27.6" customHeight="1">
      <c r="A259" s="30" t="s">
        <v>1115</v>
      </c>
      <c r="B259" s="30" t="s">
        <v>1202</v>
      </c>
      <c r="C259" s="31">
        <v>2026</v>
      </c>
      <c r="D259" s="30" t="s">
        <v>985</v>
      </c>
      <c r="E259" s="31">
        <v>20612863505</v>
      </c>
      <c r="F259" s="30" t="s">
        <v>986</v>
      </c>
      <c r="G259" s="30" t="s">
        <v>987</v>
      </c>
      <c r="H259" s="32">
        <v>41547175</v>
      </c>
      <c r="I259" s="32">
        <v>914292145</v>
      </c>
      <c r="J259" s="30" t="s">
        <v>1247</v>
      </c>
      <c r="K259" s="33">
        <v>46188</v>
      </c>
      <c r="L259" s="31">
        <v>3</v>
      </c>
      <c r="M259" s="33">
        <v>47283</v>
      </c>
      <c r="N259" s="34">
        <v>1064</v>
      </c>
      <c r="O259" s="31" t="s">
        <v>29</v>
      </c>
      <c r="P259" s="30" t="s">
        <v>1238</v>
      </c>
      <c r="Q259" s="18"/>
    </row>
    <row r="260" spans="1:17" s="9" customFormat="1" ht="27.6" customHeight="1">
      <c r="A260" s="6" t="s">
        <v>1111</v>
      </c>
      <c r="B260" s="6" t="s">
        <v>1198</v>
      </c>
      <c r="C260" s="11">
        <v>2026</v>
      </c>
      <c r="D260" s="6" t="s">
        <v>969</v>
      </c>
      <c r="E260" s="11">
        <v>10267313054</v>
      </c>
      <c r="F260" s="6" t="s">
        <v>970</v>
      </c>
      <c r="G260" s="6" t="s">
        <v>971</v>
      </c>
      <c r="H260" s="26">
        <v>44134822</v>
      </c>
      <c r="I260" s="26">
        <v>995148542</v>
      </c>
      <c r="J260" s="6" t="s">
        <v>487</v>
      </c>
      <c r="K260" s="7">
        <v>46188</v>
      </c>
      <c r="L260" s="11">
        <v>3</v>
      </c>
      <c r="M260" s="7">
        <f>IF(OR(K260="",L260=""),"",DATE(YEAR(K260)+L260,MONTH(K260),DAY(K260))-1)</f>
        <v>47283</v>
      </c>
      <c r="N260" s="13">
        <f ca="1">IF(M260="","",M260-TODAY())</f>
        <v>1064</v>
      </c>
      <c r="O260" s="11" t="str">
        <f ca="1">IF(M260="","SIN FECHA",IF(M260&lt;TODAY(),"VENCIDO",IF(M260-TODAY()&lt;=30,"POR VENCER","VIGENTE")))</f>
        <v>VIGENTE</v>
      </c>
      <c r="P260" s="6" t="str">
        <f>UPPER(TRIM(E260&amp;" "&amp;D260&amp;" "&amp;G260&amp;" "&amp;H260&amp;" "&amp;I260&amp;" "&amp;B260&amp;" "&amp;J260))</f>
        <v>10267313054 MONTERO SALÓN &amp; SPA ROUSE MONTERO SIGUEÑAS 44134822 995148542 0088-2026 ESTILISMO</v>
      </c>
      <c r="Q260" s="18" t="s">
        <v>1237</v>
      </c>
    </row>
    <row r="261" spans="1:17" s="9" customFormat="1" ht="27.6" customHeight="1">
      <c r="A261" s="6" t="s">
        <v>1116</v>
      </c>
      <c r="B261" s="6" t="s">
        <v>1203</v>
      </c>
      <c r="C261" s="11">
        <v>2026</v>
      </c>
      <c r="D261" s="6" t="s">
        <v>982</v>
      </c>
      <c r="E261" s="11">
        <v>10422074347</v>
      </c>
      <c r="F261" s="6" t="s">
        <v>983</v>
      </c>
      <c r="G261" s="6" t="s">
        <v>984</v>
      </c>
      <c r="H261" s="26">
        <v>42207434</v>
      </c>
      <c r="I261" s="26">
        <v>976855983</v>
      </c>
      <c r="J261" s="6" t="s">
        <v>1247</v>
      </c>
      <c r="K261" s="7">
        <v>46188</v>
      </c>
      <c r="L261" s="11">
        <v>3</v>
      </c>
      <c r="M261" s="7">
        <f>IF(OR(K261="",L261=""),"",DATE(YEAR(K261)+L261,MONTH(K261),DAY(K261))-1)</f>
        <v>47283</v>
      </c>
      <c r="N261" s="13">
        <f ca="1">IF(M261="","",M261-TODAY())</f>
        <v>1064</v>
      </c>
      <c r="O261" s="11" t="str">
        <f ca="1">IF(M261="","SIN FECHA",IF(M261&lt;TODAY(),"VENCIDO",IF(M261-TODAY()&lt;=30,"POR VENCER","VIGENTE")))</f>
        <v>VIGENTE</v>
      </c>
      <c r="P261" s="6" t="str">
        <f>UPPER(TRIM(E261&amp;" "&amp;D261&amp;" "&amp;G261&amp;" "&amp;H261&amp;" "&amp;I261&amp;" "&amp;B261&amp;" "&amp;J261))</f>
        <v>10422074347 PANADERIA Y PASTELERIA BRAYAN ROSSEL TAPIA DÍAZ 42207434 976855983 0095-2026 PANIFICACIÓN INDUSTRIAL</v>
      </c>
      <c r="Q261" s="18"/>
    </row>
    <row r="262" spans="1:17" s="22" customFormat="1" ht="27.6" customHeight="1">
      <c r="A262" s="6" t="s">
        <v>1117</v>
      </c>
      <c r="B262" s="6" t="s">
        <v>1204</v>
      </c>
      <c r="C262" s="11">
        <v>2026</v>
      </c>
      <c r="D262" s="6" t="s">
        <v>993</v>
      </c>
      <c r="E262" s="11">
        <v>20602404065</v>
      </c>
      <c r="F262" s="6" t="s">
        <v>994</v>
      </c>
      <c r="G262" s="6" t="s">
        <v>995</v>
      </c>
      <c r="H262" s="26">
        <v>40625810</v>
      </c>
      <c r="I262" s="26">
        <v>945643584</v>
      </c>
      <c r="J262" s="6" t="s">
        <v>487</v>
      </c>
      <c r="K262" s="7">
        <v>46188</v>
      </c>
      <c r="L262" s="11">
        <v>3</v>
      </c>
      <c r="M262" s="7">
        <f>IF(OR(K262="",L262=""),"",DATE(YEAR(K262)+L262,MONTH(K262),DAY(K262))-1)</f>
        <v>47283</v>
      </c>
      <c r="N262" s="13">
        <f ca="1">IF(M262="","",M262-TODAY())</f>
        <v>1064</v>
      </c>
      <c r="O262" s="11" t="str">
        <f ca="1">IF(M262="","SIN FECHA",IF(M262&lt;TODAY(),"VENCIDO",IF(M262-TODAY()&lt;=30,"POR VENCER","VIGENTE")))</f>
        <v>VIGENTE</v>
      </c>
      <c r="P262" s="6" t="str">
        <f>UPPER(TRIM(E262&amp;" "&amp;D262&amp;" "&amp;G262&amp;" "&amp;H262&amp;" "&amp;I262&amp;" "&amp;B262&amp;" "&amp;J262))</f>
        <v>20602404065 PURITA BELLEZA SALÓN MÓNICA RAQUEL ROJAS CHÁVEZ 40625810 945643584 0097-2026 ESTILISMO</v>
      </c>
      <c r="Q262" s="18"/>
    </row>
    <row r="263" spans="1:17" s="9" customFormat="1" ht="27.6" customHeight="1">
      <c r="A263" s="6" t="s">
        <v>1118</v>
      </c>
      <c r="B263" s="6" t="s">
        <v>1205</v>
      </c>
      <c r="C263" s="11">
        <v>2026</v>
      </c>
      <c r="D263" s="6" t="s">
        <v>990</v>
      </c>
      <c r="E263" s="11">
        <v>10193295261</v>
      </c>
      <c r="F263" s="6" t="s">
        <v>991</v>
      </c>
      <c r="G263" s="6" t="s">
        <v>992</v>
      </c>
      <c r="H263" s="26">
        <v>19329526</v>
      </c>
      <c r="I263" s="26">
        <v>910974959</v>
      </c>
      <c r="J263" s="6" t="s">
        <v>1244</v>
      </c>
      <c r="K263" s="7">
        <v>46188</v>
      </c>
      <c r="L263" s="11">
        <v>3</v>
      </c>
      <c r="M263" s="7">
        <f>IF(OR(K263="",L263=""),"",DATE(YEAR(K263)+L263,MONTH(K263),DAY(K263))-1)</f>
        <v>47283</v>
      </c>
      <c r="N263" s="13">
        <f ca="1">IF(M263="","",M263-TODAY())</f>
        <v>1064</v>
      </c>
      <c r="O263" s="11" t="str">
        <f ca="1">IF(M263="","SIN FECHA",IF(M263&lt;TODAY(),"VENCIDO",IF(M263-TODAY()&lt;=30,"POR VENCER","VIGENTE")))</f>
        <v>VIGENTE</v>
      </c>
      <c r="P263" s="6" t="str">
        <f>UPPER(TRIM(E263&amp;" "&amp;D263&amp;" "&amp;G263&amp;" "&amp;H263&amp;" "&amp;I263&amp;" "&amp;B263&amp;" "&amp;J263))</f>
        <v>10193295261 PIKOS CHICKEN CARLOS HUAMÁN ESCOBAR 19329526 910974959 0098-2026 ADMINISTRACIÓN Y COMERCIO</v>
      </c>
      <c r="Q263" s="18"/>
    </row>
    <row r="264" spans="1:17" s="9" customFormat="1" ht="27.6" customHeight="1">
      <c r="A264" s="6" t="s">
        <v>1118</v>
      </c>
      <c r="B264" s="6" t="s">
        <v>1205</v>
      </c>
      <c r="C264" s="11">
        <v>2026</v>
      </c>
      <c r="D264" s="6" t="s">
        <v>996</v>
      </c>
      <c r="E264" s="11">
        <v>20603980248</v>
      </c>
      <c r="F264" s="6" t="s">
        <v>997</v>
      </c>
      <c r="G264" s="6" t="s">
        <v>998</v>
      </c>
      <c r="H264" s="26">
        <v>45127096</v>
      </c>
      <c r="I264" s="26">
        <v>976500528</v>
      </c>
      <c r="J264" s="6" t="s">
        <v>1245</v>
      </c>
      <c r="K264" s="7">
        <v>46188</v>
      </c>
      <c r="L264" s="11">
        <v>3</v>
      </c>
      <c r="M264" s="7">
        <f>IF(OR(K264="",L264=""),"",DATE(YEAR(K264)+L264,MONTH(K264),DAY(K264))-1)</f>
        <v>47283</v>
      </c>
      <c r="N264" s="13">
        <f ca="1">IF(M264="","",M264-TODAY())</f>
        <v>1064</v>
      </c>
      <c r="O264" s="11" t="str">
        <f ca="1">IF(M264="","SIN FECHA",IF(M264&lt;TODAY(),"VENCIDO",IF(M264-TODAY()&lt;=30,"POR VENCER","VIGENTE")))</f>
        <v>VIGENTE</v>
      </c>
      <c r="P264" s="6" t="str">
        <f>UPPER(TRIM(E264&amp;" "&amp;D264&amp;" "&amp;G264&amp;" "&amp;H264&amp;" "&amp;I264&amp;" "&amp;B264&amp;" "&amp;J264))</f>
        <v>20603980248 RED INTEGRADA DE SALUD (RIS) CAJAMARCA JHONATAN PIEER PAREDES VÁSQUEZ 45127096 976500528 0098-2026 COMPUTACIÓN E INFORMÁTICA</v>
      </c>
      <c r="Q264" s="18"/>
    </row>
    <row r="265" spans="1:17" s="9" customFormat="1" ht="27.6" customHeight="1">
      <c r="A265" s="6" t="s">
        <v>1119</v>
      </c>
      <c r="B265" s="6" t="s">
        <v>1206</v>
      </c>
      <c r="C265" s="11">
        <v>2026</v>
      </c>
      <c r="D265" s="6" t="s">
        <v>999</v>
      </c>
      <c r="E265" s="11">
        <v>10467906670</v>
      </c>
      <c r="F265" s="6" t="s">
        <v>1000</v>
      </c>
      <c r="G265" s="24" t="s">
        <v>1001</v>
      </c>
      <c r="H265" s="26">
        <v>46790667</v>
      </c>
      <c r="I265" s="26">
        <v>976196585</v>
      </c>
      <c r="J265" s="6" t="s">
        <v>487</v>
      </c>
      <c r="K265" s="7">
        <v>46188</v>
      </c>
      <c r="L265" s="11">
        <v>3</v>
      </c>
      <c r="M265" s="7">
        <f t="shared" ref="M265:M275" si="44">IF(OR(K265="",L265=""),"",DATE(YEAR(K265)+L265,MONTH(K265),DAY(K265))-1)</f>
        <v>47283</v>
      </c>
      <c r="N265" s="13">
        <f t="shared" ref="N265:N275" ca="1" si="45">IF(M265="","",M265-TODAY())</f>
        <v>1064</v>
      </c>
      <c r="O265" s="11" t="str">
        <f t="shared" ref="O265:O275" ca="1" si="46">IF(M265="","SIN FECHA",IF(M265&lt;TODAY(),"VENCIDO",IF(M265-TODAY()&lt;=30,"POR VENCER","VIGENTE")))</f>
        <v>VIGENTE</v>
      </c>
      <c r="P265" s="6" t="str">
        <f t="shared" ref="P265:P275" si="47">UPPER(TRIM(E265&amp;" "&amp;D265&amp;" "&amp;G265&amp;" "&amp;H265&amp;" "&amp;I265&amp;" "&amp;B265&amp;" "&amp;J265))</f>
        <v>10467906670 ROXY CENTRO DE BELLEZA
 ROXY PITA VÁSQUEZ 46790667 976196585 0099-2026 ESTILISMO</v>
      </c>
      <c r="Q265" s="18" t="s">
        <v>1252</v>
      </c>
    </row>
    <row r="266" spans="1:17" s="9" customFormat="1" ht="27.6" customHeight="1">
      <c r="A266" s="6" t="s">
        <v>1120</v>
      </c>
      <c r="B266" s="6" t="s">
        <v>1207</v>
      </c>
      <c r="C266" s="11">
        <v>2026</v>
      </c>
      <c r="D266" s="6" t="s">
        <v>1002</v>
      </c>
      <c r="E266" s="11">
        <v>20601297401</v>
      </c>
      <c r="F266" s="6" t="s">
        <v>1003</v>
      </c>
      <c r="G266" s="6" t="s">
        <v>1004</v>
      </c>
      <c r="H266" s="26">
        <v>16755690</v>
      </c>
      <c r="I266" s="26">
        <v>979343391</v>
      </c>
      <c r="J266" s="6" t="s">
        <v>1244</v>
      </c>
      <c r="K266" s="7">
        <v>46188</v>
      </c>
      <c r="L266" s="11">
        <v>3</v>
      </c>
      <c r="M266" s="7">
        <f t="shared" si="44"/>
        <v>47283</v>
      </c>
      <c r="N266" s="13">
        <f t="shared" ca="1" si="45"/>
        <v>1064</v>
      </c>
      <c r="O266" s="11" t="str">
        <f t="shared" ca="1" si="46"/>
        <v>VIGENTE</v>
      </c>
      <c r="P266" s="6" t="str">
        <f t="shared" si="47"/>
        <v>20601297401 SALES FORCE PERU SRL ENRIQUE CHAMBERGO COSMOPOLIS 16755690 979343391 0102-2026 ADMINISTRACIÓN Y COMERCIO</v>
      </c>
      <c r="Q266" s="18"/>
    </row>
    <row r="267" spans="1:17" s="9" customFormat="1" ht="27.6" customHeight="1">
      <c r="A267" s="6" t="s">
        <v>1121</v>
      </c>
      <c r="B267" s="6" t="s">
        <v>1208</v>
      </c>
      <c r="C267" s="11">
        <v>2026</v>
      </c>
      <c r="D267" s="6" t="s">
        <v>1005</v>
      </c>
      <c r="E267" s="11">
        <v>10432198460</v>
      </c>
      <c r="F267" s="6" t="s">
        <v>1006</v>
      </c>
      <c r="G267" s="6" t="s">
        <v>1007</v>
      </c>
      <c r="H267" s="26">
        <v>43219846</v>
      </c>
      <c r="I267" s="26">
        <v>939389358</v>
      </c>
      <c r="J267" s="6" t="s">
        <v>487</v>
      </c>
      <c r="K267" s="7">
        <v>46188</v>
      </c>
      <c r="L267" s="11">
        <v>3</v>
      </c>
      <c r="M267" s="7">
        <f t="shared" si="44"/>
        <v>47283</v>
      </c>
      <c r="N267" s="13">
        <f t="shared" ca="1" si="45"/>
        <v>1064</v>
      </c>
      <c r="O267" s="11" t="str">
        <f t="shared" ca="1" si="46"/>
        <v>VIGENTE</v>
      </c>
      <c r="P267" s="6" t="str">
        <f t="shared" si="47"/>
        <v>10432198460 SALÓN &amp; ESTYLOS ANFRYD YANETH DEICY NUÑEZ VALLEJOS 43219846 939389358 0103-2026 ESTILISMO</v>
      </c>
      <c r="Q267" s="18"/>
    </row>
    <row r="268" spans="1:17" s="9" customFormat="1" ht="27.6" customHeight="1">
      <c r="A268" s="6" t="s">
        <v>1123</v>
      </c>
      <c r="B268" s="6" t="s">
        <v>1209</v>
      </c>
      <c r="C268" s="11">
        <v>2026</v>
      </c>
      <c r="D268" s="6" t="s">
        <v>1008</v>
      </c>
      <c r="E268" s="11">
        <v>10422349734</v>
      </c>
      <c r="F268" s="6" t="s">
        <v>1009</v>
      </c>
      <c r="G268" s="6" t="s">
        <v>1010</v>
      </c>
      <c r="H268" s="26">
        <v>42340734</v>
      </c>
      <c r="I268" s="26">
        <v>966431830</v>
      </c>
      <c r="J268" s="6" t="s">
        <v>487</v>
      </c>
      <c r="K268" s="7">
        <v>46188</v>
      </c>
      <c r="L268" s="11">
        <v>3</v>
      </c>
      <c r="M268" s="7">
        <f t="shared" si="44"/>
        <v>47283</v>
      </c>
      <c r="N268" s="13">
        <f t="shared" ca="1" si="45"/>
        <v>1064</v>
      </c>
      <c r="O268" s="11" t="str">
        <f t="shared" ca="1" si="46"/>
        <v>VIGENTE</v>
      </c>
      <c r="P268" s="6" t="str">
        <f>UPPER(TRIM(E268&amp;" "&amp;D268&amp;" "&amp;G268&amp;" "&amp;H268&amp;" "&amp;I268&amp;" "&amp;B268&amp;" "&amp;J268))</f>
        <v>10422349734 SALÓN SPA ESTILOS MARY MARÍA ELENA TAPIA BUSTAMANTE 42340734 966431830 0104-2026 ESTILISMO</v>
      </c>
      <c r="Q268" s="18"/>
    </row>
    <row r="269" spans="1:17" s="22" customFormat="1" ht="27.6" customHeight="1">
      <c r="A269" s="6" t="s">
        <v>1123</v>
      </c>
      <c r="B269" s="6" t="s">
        <v>1209</v>
      </c>
      <c r="C269" s="11">
        <v>2026</v>
      </c>
      <c r="D269" s="6" t="s">
        <v>1014</v>
      </c>
      <c r="E269" s="11">
        <v>10433122076</v>
      </c>
      <c r="F269" s="6" t="s">
        <v>1015</v>
      </c>
      <c r="G269" s="6" t="s">
        <v>1016</v>
      </c>
      <c r="H269" s="26">
        <v>42830049</v>
      </c>
      <c r="I269" s="26">
        <v>977928026</v>
      </c>
      <c r="J269" s="6" t="s">
        <v>487</v>
      </c>
      <c r="K269" s="7">
        <v>46188</v>
      </c>
      <c r="L269" s="11">
        <v>3</v>
      </c>
      <c r="M269" s="7">
        <f t="shared" ref="M269:M270" si="48">IF(OR(K269="",L269=""),"",DATE(YEAR(K269)+L269,MONTH(K269),DAY(K269))-1)</f>
        <v>47283</v>
      </c>
      <c r="N269" s="13">
        <f t="shared" ref="N269:N270" ca="1" si="49">IF(M269="","",M269-TODAY())</f>
        <v>1064</v>
      </c>
      <c r="O269" s="11" t="str">
        <f t="shared" ref="O269:O270" ca="1" si="50">IF(M269="","SIN FECHA",IF(M269&lt;TODAY(),"VENCIDO",IF(M269-TODAY()&lt;=30,"POR VENCER","VIGENTE")))</f>
        <v>VIGENTE</v>
      </c>
      <c r="P269" s="6" t="str">
        <f t="shared" ref="P269:P270" si="51">UPPER(TRIM(E269&amp;" "&amp;D269&amp;" "&amp;G269&amp;" "&amp;H269&amp;" "&amp;I269&amp;" "&amp;B269&amp;" "&amp;J269))</f>
        <v>10433122076 SPA ERLY ELVA ERLITA CASTPE ARANA 42830049 977928026 0104-2026 ESTILISMO</v>
      </c>
      <c r="Q269" s="18" t="s">
        <v>1240</v>
      </c>
    </row>
    <row r="270" spans="1:17" s="22" customFormat="1" ht="27.6" customHeight="1">
      <c r="A270" s="6" t="s">
        <v>1124</v>
      </c>
      <c r="B270" s="6" t="s">
        <v>1210</v>
      </c>
      <c r="C270" s="11">
        <v>2026</v>
      </c>
      <c r="D270" s="6" t="s">
        <v>1017</v>
      </c>
      <c r="E270" s="11">
        <v>10406159405</v>
      </c>
      <c r="F270" s="6" t="s">
        <v>1018</v>
      </c>
      <c r="G270" s="6" t="s">
        <v>1019</v>
      </c>
      <c r="H270" s="26">
        <v>40615940</v>
      </c>
      <c r="I270" s="26">
        <v>952432991</v>
      </c>
      <c r="J270" s="6" t="s">
        <v>487</v>
      </c>
      <c r="K270" s="7">
        <v>46188</v>
      </c>
      <c r="L270" s="11">
        <v>3</v>
      </c>
      <c r="M270" s="7">
        <f t="shared" si="48"/>
        <v>47283</v>
      </c>
      <c r="N270" s="13">
        <f t="shared" ca="1" si="49"/>
        <v>1064</v>
      </c>
      <c r="O270" s="11" t="str">
        <f t="shared" ca="1" si="50"/>
        <v>VIGENTE</v>
      </c>
      <c r="P270" s="6" t="str">
        <f t="shared" si="51"/>
        <v>10406159405 STORE SPA KATHALINA
 GLADYS BUENDIA LOZANO 40615940 952432991 0105-2026 ESTILISMO</v>
      </c>
      <c r="Q270" s="18"/>
    </row>
    <row r="271" spans="1:17" s="22" customFormat="1" ht="27.6" customHeight="1">
      <c r="A271" s="30" t="s">
        <v>1125</v>
      </c>
      <c r="B271" s="30" t="s">
        <v>1211</v>
      </c>
      <c r="C271" s="31">
        <v>2026</v>
      </c>
      <c r="D271" s="30" t="s">
        <v>1219</v>
      </c>
      <c r="E271" s="31">
        <v>10742780908</v>
      </c>
      <c r="F271" s="30" t="s">
        <v>1220</v>
      </c>
      <c r="G271" s="30" t="s">
        <v>1221</v>
      </c>
      <c r="H271" s="32">
        <v>74278090</v>
      </c>
      <c r="I271" s="32"/>
      <c r="J271" s="30" t="s">
        <v>487</v>
      </c>
      <c r="K271" s="7">
        <v>46189</v>
      </c>
      <c r="L271" s="11">
        <v>3</v>
      </c>
      <c r="M271" s="7">
        <f t="shared" si="44"/>
        <v>47284</v>
      </c>
      <c r="N271" s="13">
        <f ca="1">IF(M268="","",M268-TODAY())</f>
        <v>1064</v>
      </c>
      <c r="O271" s="11" t="str">
        <f t="shared" ca="1" si="46"/>
        <v>VIGENTE</v>
      </c>
      <c r="P271" s="6" t="str">
        <f>UPPER(TRIM(E271&amp;" "&amp;D271&amp;" "&amp;G271&amp;" "&amp;H271&amp;" "&amp;I271&amp;" "&amp;B271&amp;" "&amp;J271))</f>
        <v>10742780908 SALON CASTOPE MICHA IRMA KATERINE CHAVEZ CUEVA 74278090 0106-2026 ESTILISMO</v>
      </c>
      <c r="Q271" s="18"/>
    </row>
    <row r="272" spans="1:17" s="22" customFormat="1" ht="27.6" customHeight="1">
      <c r="A272" s="6" t="s">
        <v>1125</v>
      </c>
      <c r="B272" s="6" t="s">
        <v>1211</v>
      </c>
      <c r="C272" s="11">
        <v>2026</v>
      </c>
      <c r="D272" s="6" t="s">
        <v>1020</v>
      </c>
      <c r="E272" s="11">
        <v>10445070772</v>
      </c>
      <c r="F272" s="6" t="s">
        <v>1021</v>
      </c>
      <c r="G272" s="6" t="s">
        <v>1022</v>
      </c>
      <c r="H272" s="26">
        <v>44507077</v>
      </c>
      <c r="I272" s="26">
        <v>964437344</v>
      </c>
      <c r="J272" s="6" t="s">
        <v>487</v>
      </c>
      <c r="K272" s="7">
        <v>46188</v>
      </c>
      <c r="L272" s="11">
        <v>3</v>
      </c>
      <c r="M272" s="7">
        <f t="shared" ref="M272" si="52">IF(OR(K272="",L272=""),"",DATE(YEAR(K272)+L272,MONTH(K272),DAY(K272))-1)</f>
        <v>47283</v>
      </c>
      <c r="N272" s="13">
        <f t="shared" ref="N272" ca="1" si="53">IF(M272="","",M272-TODAY())</f>
        <v>1064</v>
      </c>
      <c r="O272" s="11" t="str">
        <f t="shared" ref="O272" ca="1" si="54">IF(M272="","SIN FECHA",IF(M272&lt;TODAY(),"VENCIDO",IF(M272-TODAY()&lt;=30,"POR VENCER","VIGENTE")))</f>
        <v>VIGENTE</v>
      </c>
      <c r="P272" s="6" t="str">
        <f t="shared" ref="P272" si="55">UPPER(TRIM(E272&amp;" "&amp;D272&amp;" "&amp;G272&amp;" "&amp;H272&amp;" "&amp;I272&amp;" "&amp;B272&amp;" "&amp;J272))</f>
        <v>10445070772 VANESSA SALÓN SPA
 VANESSA LLANOS CHAVEZ 44507077 964437344 0106-2026 ESTILISMO</v>
      </c>
      <c r="Q272" s="18" t="s">
        <v>1235</v>
      </c>
    </row>
    <row r="273" spans="1:17" s="9" customFormat="1" ht="27.6" customHeight="1">
      <c r="A273" s="6" t="s">
        <v>1223</v>
      </c>
      <c r="B273" s="6" t="s">
        <v>1222</v>
      </c>
      <c r="C273" s="11">
        <v>2026</v>
      </c>
      <c r="D273" s="6" t="s">
        <v>1025</v>
      </c>
      <c r="E273" s="11">
        <v>20539790171</v>
      </c>
      <c r="F273" s="6" t="s">
        <v>1026</v>
      </c>
      <c r="G273" s="6" t="s">
        <v>1027</v>
      </c>
      <c r="H273" s="26">
        <v>19559234</v>
      </c>
      <c r="I273" s="26">
        <v>957646003</v>
      </c>
      <c r="J273" s="6" t="s">
        <v>508</v>
      </c>
      <c r="K273" s="7">
        <v>46188</v>
      </c>
      <c r="L273" s="11">
        <v>3</v>
      </c>
      <c r="M273" s="7">
        <f t="shared" si="44"/>
        <v>47283</v>
      </c>
      <c r="N273" s="13">
        <f t="shared" ca="1" si="45"/>
        <v>1064</v>
      </c>
      <c r="O273" s="11" t="str">
        <f t="shared" ca="1" si="46"/>
        <v>VIGENTE</v>
      </c>
      <c r="P273" s="6" t="str">
        <f t="shared" si="47"/>
        <v>20539790171 WILITOR SAC WILFREDO WENCESLAO RONDO CUEVAS 19559234 957646003 0110-2026 TOPOGRAFÍA</v>
      </c>
      <c r="Q273" s="18"/>
    </row>
    <row r="274" spans="1:17" s="9" customFormat="1" ht="27.6" customHeight="1">
      <c r="A274" s="6" t="s">
        <v>1225</v>
      </c>
      <c r="B274" s="6" t="s">
        <v>1224</v>
      </c>
      <c r="C274" s="11">
        <v>2026</v>
      </c>
      <c r="D274" s="6" t="s">
        <v>1028</v>
      </c>
      <c r="E274" s="11">
        <v>20607942049</v>
      </c>
      <c r="F274" s="6" t="s">
        <v>1012</v>
      </c>
      <c r="G274" s="6" t="s">
        <v>1029</v>
      </c>
      <c r="H274" s="26">
        <v>44750905</v>
      </c>
      <c r="I274" s="26">
        <v>951300624</v>
      </c>
      <c r="J274" s="6" t="s">
        <v>1245</v>
      </c>
      <c r="K274" s="7">
        <v>46188</v>
      </c>
      <c r="L274" s="11">
        <v>3</v>
      </c>
      <c r="M274" s="7">
        <f t="shared" si="44"/>
        <v>47283</v>
      </c>
      <c r="N274" s="13">
        <f t="shared" ca="1" si="45"/>
        <v>1064</v>
      </c>
      <c r="O274" s="11" t="str">
        <f t="shared" ca="1" si="46"/>
        <v>VIGENTE</v>
      </c>
      <c r="P274" s="6" t="str">
        <f t="shared" si="47"/>
        <v>20607942049 FORTEZZA WC S.A.C. LILIANA ARACELI CHICLOTE GONZALES 44750905 951300624 0111-2026 COMPUTACIÓN E INFORMÁTICA</v>
      </c>
      <c r="Q274" s="18"/>
    </row>
    <row r="275" spans="1:17" s="9" customFormat="1" ht="27.6" customHeight="1">
      <c r="A275" s="6" t="s">
        <v>1226</v>
      </c>
      <c r="B275" s="6" t="s">
        <v>1227</v>
      </c>
      <c r="C275" s="11">
        <v>2026</v>
      </c>
      <c r="D275" s="6" t="s">
        <v>1228</v>
      </c>
      <c r="E275" s="11">
        <v>10719473810</v>
      </c>
      <c r="F275" s="6" t="s">
        <v>1229</v>
      </c>
      <c r="G275" s="6" t="s">
        <v>1230</v>
      </c>
      <c r="H275" s="26">
        <v>71947381</v>
      </c>
      <c r="I275" s="26"/>
      <c r="J275" s="6" t="s">
        <v>487</v>
      </c>
      <c r="K275" s="7">
        <v>46189</v>
      </c>
      <c r="L275" s="11">
        <v>3</v>
      </c>
      <c r="M275" s="7">
        <f t="shared" si="44"/>
        <v>47284</v>
      </c>
      <c r="N275" s="13">
        <f t="shared" ca="1" si="45"/>
        <v>1065</v>
      </c>
      <c r="O275" s="11" t="str">
        <f t="shared" ca="1" si="46"/>
        <v>VIGENTE</v>
      </c>
      <c r="P275" s="6" t="str">
        <f t="shared" si="47"/>
        <v>10719473810 ESTETICA INTEGRAL CHIO
 ROCIO RAMOS CHUQUIMANGO 71947381 0113-2026 ESTILISMO</v>
      </c>
      <c r="Q275" s="18"/>
    </row>
    <row r="276" spans="1:17" s="22" customFormat="1" ht="27.6" customHeight="1">
      <c r="A276" s="6" t="s">
        <v>1122</v>
      </c>
      <c r="B276" s="6" t="s">
        <v>1241</v>
      </c>
      <c r="C276" s="11">
        <v>2026</v>
      </c>
      <c r="D276" s="6" t="s">
        <v>1011</v>
      </c>
      <c r="E276" s="11">
        <v>20607942049</v>
      </c>
      <c r="F276" s="6" t="s">
        <v>1012</v>
      </c>
      <c r="G276" s="6" t="s">
        <v>1013</v>
      </c>
      <c r="H276" s="26">
        <v>43438759</v>
      </c>
      <c r="I276" s="26">
        <v>951300624</v>
      </c>
      <c r="J276" s="6" t="s">
        <v>1245</v>
      </c>
      <c r="K276" s="7">
        <v>46188</v>
      </c>
      <c r="L276" s="11">
        <v>3</v>
      </c>
      <c r="M276" s="7">
        <f t="shared" ref="M276" si="56">IF(OR(K276="",L276=""),"",DATE(YEAR(K276)+L276,MONTH(K276),DAY(K276))-1)</f>
        <v>47283</v>
      </c>
      <c r="N276" s="13">
        <f t="shared" ref="N276" ca="1" si="57">IF(M276="","",M276-TODAY())</f>
        <v>1064</v>
      </c>
      <c r="O276" s="11" t="str">
        <f t="shared" ref="O276:O298" ca="1" si="58">IF(M276="","SIN FECHA",IF(M276&lt;TODAY(),"VENCIDO",IF(M276-TODAY()&lt;=30,"POR VENCER","VIGENTE")))</f>
        <v>VIGENTE</v>
      </c>
      <c r="P276" s="6" t="str">
        <f t="shared" ref="P276" si="59">UPPER(TRIM(E276&amp;" "&amp;D276&amp;" "&amp;G276&amp;" "&amp;H276&amp;" "&amp;I276&amp;" "&amp;B276&amp;" "&amp;J276))</f>
        <v>20607942049 SG DATA NETWORK S.R.L. ROQUE SILVA RICHARD HENRY 43438759 951300624 0114-2026 COMPUTACIÓN E INFORMÁTICA</v>
      </c>
      <c r="Q276" s="18" t="s">
        <v>1235</v>
      </c>
    </row>
    <row r="277" spans="1:17" s="9" customFormat="1" ht="27.6" customHeight="1">
      <c r="A277" s="6" t="s">
        <v>1126</v>
      </c>
      <c r="B277" s="6" t="s">
        <v>1242</v>
      </c>
      <c r="C277" s="11">
        <v>2026</v>
      </c>
      <c r="D277" s="6" t="s">
        <v>1023</v>
      </c>
      <c r="E277" s="11">
        <v>10457201589</v>
      </c>
      <c r="F277" s="6" t="s">
        <v>1024</v>
      </c>
      <c r="G277" s="6" t="s">
        <v>182</v>
      </c>
      <c r="H277" s="26">
        <v>45720158</v>
      </c>
      <c r="I277" s="26">
        <v>938118725</v>
      </c>
      <c r="J277" s="6" t="s">
        <v>487</v>
      </c>
      <c r="K277" s="7">
        <v>46188</v>
      </c>
      <c r="L277" s="11">
        <v>3</v>
      </c>
      <c r="M277" s="7">
        <v>47283</v>
      </c>
      <c r="N277" s="13">
        <v>1064</v>
      </c>
      <c r="O277" s="11" t="str">
        <f t="shared" ca="1" si="58"/>
        <v>VIGENTE</v>
      </c>
      <c r="P277" s="6" t="s">
        <v>1243</v>
      </c>
      <c r="Q277" s="18" t="s">
        <v>1235</v>
      </c>
    </row>
    <row r="278" spans="1:17" s="9" customFormat="1" ht="27.6" customHeight="1">
      <c r="A278" s="6"/>
      <c r="B278" s="6"/>
      <c r="C278" s="11"/>
      <c r="D278" s="6"/>
      <c r="E278" s="11"/>
      <c r="F278" s="6"/>
      <c r="G278" s="6"/>
      <c r="H278" s="26"/>
      <c r="I278" s="26"/>
      <c r="J278" s="6"/>
      <c r="K278" s="7"/>
      <c r="L278" s="11"/>
      <c r="M278" s="7"/>
      <c r="N278" s="13"/>
      <c r="O278" s="11" t="str">
        <f t="shared" ca="1" si="58"/>
        <v>SIN FECHA</v>
      </c>
      <c r="P278" s="6"/>
      <c r="Q278" s="18"/>
    </row>
    <row r="279" spans="1:17" s="9" customFormat="1" ht="27.6" customHeight="1">
      <c r="A279" s="6"/>
      <c r="B279" s="6"/>
      <c r="C279" s="11"/>
      <c r="D279" s="6"/>
      <c r="E279" s="11"/>
      <c r="F279" s="6"/>
      <c r="G279" s="6"/>
      <c r="H279" s="26"/>
      <c r="I279" s="26"/>
      <c r="J279" s="6"/>
      <c r="K279" s="7"/>
      <c r="L279" s="11"/>
      <c r="M279" s="7"/>
      <c r="N279" s="13"/>
      <c r="O279" s="11" t="str">
        <f t="shared" ca="1" si="58"/>
        <v>SIN FECHA</v>
      </c>
      <c r="P279" s="6"/>
      <c r="Q279" s="18"/>
    </row>
    <row r="280" spans="1:17" s="9" customFormat="1" ht="27.6" customHeight="1">
      <c r="A280" s="6"/>
      <c r="B280" s="6"/>
      <c r="C280" s="11"/>
      <c r="D280" s="6"/>
      <c r="E280" s="11"/>
      <c r="F280" s="6"/>
      <c r="G280" s="6"/>
      <c r="H280" s="26"/>
      <c r="I280" s="26"/>
      <c r="J280" s="6"/>
      <c r="K280" s="7"/>
      <c r="L280" s="11"/>
      <c r="M280" s="7"/>
      <c r="N280" s="13"/>
      <c r="O280" s="11" t="str">
        <f t="shared" ca="1" si="58"/>
        <v>SIN FECHA</v>
      </c>
      <c r="P280" s="6"/>
      <c r="Q280" s="18"/>
    </row>
    <row r="281" spans="1:17" s="9" customFormat="1" ht="27.6" customHeight="1">
      <c r="A281" s="6"/>
      <c r="B281" s="6"/>
      <c r="C281" s="11"/>
      <c r="D281" s="6"/>
      <c r="E281" s="11"/>
      <c r="F281" s="6"/>
      <c r="G281" s="6"/>
      <c r="H281" s="26"/>
      <c r="I281" s="26"/>
      <c r="J281" s="6"/>
      <c r="K281" s="7"/>
      <c r="L281" s="11"/>
      <c r="M281" s="7"/>
      <c r="N281" s="13"/>
      <c r="O281" s="11" t="str">
        <f t="shared" ca="1" si="58"/>
        <v>SIN FECHA</v>
      </c>
      <c r="P281" s="6"/>
      <c r="Q281" s="18"/>
    </row>
    <row r="282" spans="1:17" s="9" customFormat="1" ht="27.6" customHeight="1">
      <c r="A282" s="6"/>
      <c r="B282" s="6"/>
      <c r="C282" s="11"/>
      <c r="D282" s="6"/>
      <c r="E282" s="11"/>
      <c r="F282" s="6"/>
      <c r="G282" s="6"/>
      <c r="H282" s="26"/>
      <c r="I282" s="26"/>
      <c r="J282" s="6"/>
      <c r="K282" s="7"/>
      <c r="L282" s="11"/>
      <c r="M282" s="7"/>
      <c r="N282" s="13"/>
      <c r="O282" s="11" t="str">
        <f t="shared" ca="1" si="58"/>
        <v>SIN FECHA</v>
      </c>
      <c r="P282" s="6"/>
      <c r="Q282" s="18"/>
    </row>
    <row r="283" spans="1:17" s="9" customFormat="1" ht="27.6" customHeight="1">
      <c r="A283" s="6"/>
      <c r="B283" s="6"/>
      <c r="C283" s="11"/>
      <c r="D283" s="6"/>
      <c r="E283" s="11"/>
      <c r="F283" s="6"/>
      <c r="G283" s="6"/>
      <c r="H283" s="26"/>
      <c r="I283" s="26"/>
      <c r="J283" s="6"/>
      <c r="K283" s="7"/>
      <c r="L283" s="11"/>
      <c r="M283" s="7"/>
      <c r="N283" s="13"/>
      <c r="O283" s="11" t="str">
        <f t="shared" ca="1" si="58"/>
        <v>SIN FECHA</v>
      </c>
      <c r="P283" s="6"/>
      <c r="Q283" s="18"/>
    </row>
    <row r="284" spans="1:17" s="9" customFormat="1" ht="27.6" customHeight="1">
      <c r="A284" s="6"/>
      <c r="B284" s="6"/>
      <c r="C284" s="11"/>
      <c r="D284" s="6"/>
      <c r="E284" s="11"/>
      <c r="F284" s="6"/>
      <c r="G284" s="6"/>
      <c r="H284" s="26"/>
      <c r="I284" s="26"/>
      <c r="J284" s="6"/>
      <c r="K284" s="7"/>
      <c r="L284" s="11"/>
      <c r="M284" s="7"/>
      <c r="N284" s="13"/>
      <c r="O284" s="11" t="str">
        <f t="shared" ca="1" si="58"/>
        <v>SIN FECHA</v>
      </c>
      <c r="P284" s="6"/>
      <c r="Q284" s="18"/>
    </row>
    <row r="285" spans="1:17" s="9" customFormat="1" ht="27.6" customHeight="1">
      <c r="A285" s="6"/>
      <c r="B285" s="6"/>
      <c r="C285" s="11"/>
      <c r="D285" s="6"/>
      <c r="E285" s="11"/>
      <c r="F285" s="6"/>
      <c r="G285" s="6"/>
      <c r="H285" s="26"/>
      <c r="I285" s="26"/>
      <c r="J285" s="6"/>
      <c r="K285" s="7"/>
      <c r="L285" s="11"/>
      <c r="M285" s="7"/>
      <c r="N285" s="13"/>
      <c r="O285" s="11" t="str">
        <f t="shared" ca="1" si="58"/>
        <v>SIN FECHA</v>
      </c>
      <c r="P285" s="6"/>
      <c r="Q285" s="18"/>
    </row>
    <row r="286" spans="1:17" s="9" customFormat="1" ht="27.6" customHeight="1">
      <c r="A286" s="6"/>
      <c r="B286" s="6"/>
      <c r="C286" s="11"/>
      <c r="D286" s="6"/>
      <c r="E286" s="11"/>
      <c r="F286" s="6"/>
      <c r="G286" s="6"/>
      <c r="H286" s="26"/>
      <c r="I286" s="26"/>
      <c r="J286" s="6"/>
      <c r="K286" s="7"/>
      <c r="L286" s="11"/>
      <c r="M286" s="7"/>
      <c r="N286" s="13"/>
      <c r="O286" s="11" t="str">
        <f t="shared" ca="1" si="58"/>
        <v>SIN FECHA</v>
      </c>
      <c r="P286" s="6"/>
      <c r="Q286" s="18"/>
    </row>
    <row r="287" spans="1:17" s="9" customFormat="1" ht="27.6" customHeight="1">
      <c r="A287" s="6"/>
      <c r="B287" s="6"/>
      <c r="C287" s="11"/>
      <c r="D287" s="6"/>
      <c r="E287" s="11"/>
      <c r="F287" s="6"/>
      <c r="G287" s="6"/>
      <c r="H287" s="26"/>
      <c r="I287" s="26"/>
      <c r="J287" s="6"/>
      <c r="K287" s="7"/>
      <c r="L287" s="11"/>
      <c r="M287" s="7"/>
      <c r="N287" s="13"/>
      <c r="O287" s="11" t="str">
        <f t="shared" ca="1" si="58"/>
        <v>SIN FECHA</v>
      </c>
      <c r="P287" s="6"/>
      <c r="Q287" s="18"/>
    </row>
    <row r="288" spans="1:17" s="9" customFormat="1" ht="27.6" customHeight="1">
      <c r="A288" s="6"/>
      <c r="B288" s="6"/>
      <c r="C288" s="11"/>
      <c r="D288" s="6"/>
      <c r="E288" s="11"/>
      <c r="F288" s="6"/>
      <c r="G288" s="6"/>
      <c r="H288" s="26"/>
      <c r="I288" s="26"/>
      <c r="J288" s="6"/>
      <c r="K288" s="7"/>
      <c r="L288" s="11"/>
      <c r="M288" s="7"/>
      <c r="N288" s="13"/>
      <c r="O288" s="11" t="str">
        <f t="shared" ca="1" si="58"/>
        <v>SIN FECHA</v>
      </c>
      <c r="P288" s="6"/>
      <c r="Q288" s="18"/>
    </row>
    <row r="289" spans="1:17" s="9" customFormat="1" ht="27.6" customHeight="1">
      <c r="A289" s="6"/>
      <c r="B289" s="6"/>
      <c r="C289" s="11"/>
      <c r="D289" s="6"/>
      <c r="E289" s="11"/>
      <c r="F289" s="6"/>
      <c r="G289" s="6"/>
      <c r="H289" s="26"/>
      <c r="I289" s="26"/>
      <c r="J289" s="6"/>
      <c r="K289" s="7"/>
      <c r="L289" s="11"/>
      <c r="M289" s="7"/>
      <c r="N289" s="13"/>
      <c r="O289" s="11" t="str">
        <f t="shared" ca="1" si="58"/>
        <v>SIN FECHA</v>
      </c>
      <c r="P289" s="6"/>
      <c r="Q289" s="18"/>
    </row>
    <row r="290" spans="1:17" s="9" customFormat="1" ht="27.6" customHeight="1">
      <c r="A290" s="6"/>
      <c r="B290" s="6"/>
      <c r="C290" s="11"/>
      <c r="D290" s="6"/>
      <c r="E290" s="11"/>
      <c r="F290" s="6"/>
      <c r="G290" s="6"/>
      <c r="H290" s="26"/>
      <c r="I290" s="26"/>
      <c r="J290" s="6"/>
      <c r="K290" s="7"/>
      <c r="L290" s="11"/>
      <c r="M290" s="7"/>
      <c r="N290" s="13"/>
      <c r="O290" s="11" t="str">
        <f t="shared" ca="1" si="58"/>
        <v>SIN FECHA</v>
      </c>
      <c r="P290" s="6"/>
      <c r="Q290" s="18"/>
    </row>
    <row r="291" spans="1:17" s="9" customFormat="1" ht="27.6" customHeight="1">
      <c r="A291" s="6"/>
      <c r="B291" s="6"/>
      <c r="C291" s="11"/>
      <c r="D291" s="6"/>
      <c r="E291" s="11"/>
      <c r="F291" s="6"/>
      <c r="G291" s="6"/>
      <c r="H291" s="26"/>
      <c r="I291" s="26"/>
      <c r="J291" s="6"/>
      <c r="K291" s="7"/>
      <c r="L291" s="11"/>
      <c r="M291" s="7"/>
      <c r="N291" s="13"/>
      <c r="O291" s="11" t="str">
        <f t="shared" ca="1" si="58"/>
        <v>SIN FECHA</v>
      </c>
      <c r="P291" s="6"/>
      <c r="Q291" s="18"/>
    </row>
    <row r="292" spans="1:17" s="9" customFormat="1" ht="27.6" customHeight="1">
      <c r="A292" s="6"/>
      <c r="B292" s="6"/>
      <c r="C292" s="11"/>
      <c r="D292" s="6"/>
      <c r="E292" s="11"/>
      <c r="F292" s="6"/>
      <c r="G292" s="6"/>
      <c r="H292" s="26"/>
      <c r="I292" s="26"/>
      <c r="J292" s="6"/>
      <c r="K292" s="7"/>
      <c r="L292" s="11"/>
      <c r="M292" s="7"/>
      <c r="N292" s="13"/>
      <c r="O292" s="11" t="str">
        <f t="shared" ca="1" si="58"/>
        <v>SIN FECHA</v>
      </c>
      <c r="P292" s="6"/>
      <c r="Q292" s="18"/>
    </row>
    <row r="293" spans="1:17" s="9" customFormat="1" ht="27.6" customHeight="1">
      <c r="A293" s="6"/>
      <c r="B293" s="6"/>
      <c r="C293" s="11"/>
      <c r="D293" s="6"/>
      <c r="E293" s="11"/>
      <c r="F293" s="6"/>
      <c r="G293" s="6"/>
      <c r="H293" s="26"/>
      <c r="I293" s="26"/>
      <c r="J293" s="6"/>
      <c r="K293" s="7"/>
      <c r="L293" s="11"/>
      <c r="M293" s="7"/>
      <c r="N293" s="13"/>
      <c r="O293" s="11" t="str">
        <f t="shared" ca="1" si="58"/>
        <v>SIN FECHA</v>
      </c>
      <c r="P293" s="6"/>
      <c r="Q293" s="18"/>
    </row>
    <row r="294" spans="1:17" s="9" customFormat="1" ht="27.6" customHeight="1">
      <c r="A294" s="6"/>
      <c r="B294" s="6"/>
      <c r="C294" s="11"/>
      <c r="D294" s="6"/>
      <c r="E294" s="11"/>
      <c r="F294" s="6"/>
      <c r="G294" s="6"/>
      <c r="H294" s="26"/>
      <c r="I294" s="26"/>
      <c r="J294" s="6"/>
      <c r="K294" s="7"/>
      <c r="L294" s="11"/>
      <c r="M294" s="7"/>
      <c r="N294" s="13"/>
      <c r="O294" s="11" t="str">
        <f t="shared" ca="1" si="58"/>
        <v>SIN FECHA</v>
      </c>
      <c r="P294" s="6"/>
      <c r="Q294" s="18"/>
    </row>
    <row r="295" spans="1:17" s="9" customFormat="1" ht="27.6" customHeight="1">
      <c r="A295" s="6"/>
      <c r="B295" s="6"/>
      <c r="C295" s="11"/>
      <c r="D295" s="6"/>
      <c r="E295" s="11"/>
      <c r="F295" s="6"/>
      <c r="G295" s="6"/>
      <c r="H295" s="26"/>
      <c r="I295" s="26"/>
      <c r="J295" s="6"/>
      <c r="K295" s="7"/>
      <c r="L295" s="11"/>
      <c r="M295" s="7" t="str">
        <f t="shared" ref="M295:M315" si="60">IF(OR(K295="",L295=""),"",DATE(YEAR(K295)+L295,MONTH(K295),DAY(K295))-1)</f>
        <v/>
      </c>
      <c r="N295" s="13" t="str">
        <f t="shared" ref="N295:N315" ca="1" si="61">IF(M295="","",M295-TODAY())</f>
        <v/>
      </c>
      <c r="O295" s="11" t="str">
        <f t="shared" ca="1" si="58"/>
        <v>SIN FECHA</v>
      </c>
      <c r="P295" s="6" t="str">
        <f t="shared" ref="P295:P315" si="62">UPPER(TRIM(E295&amp;" "&amp;D295&amp;" "&amp;G295&amp;" "&amp;H295&amp;" "&amp;I295&amp;" "&amp;B295&amp;" "&amp;J295))</f>
        <v/>
      </c>
      <c r="Q295" s="18"/>
    </row>
    <row r="296" spans="1:17" s="9" customFormat="1" ht="27.6" customHeight="1">
      <c r="A296" s="6"/>
      <c r="B296" s="6"/>
      <c r="C296" s="11"/>
      <c r="D296" s="6"/>
      <c r="E296" s="11"/>
      <c r="F296" s="6"/>
      <c r="G296" s="6"/>
      <c r="H296" s="26"/>
      <c r="I296" s="26"/>
      <c r="J296" s="6"/>
      <c r="K296" s="7"/>
      <c r="L296" s="11"/>
      <c r="M296" s="7" t="str">
        <f t="shared" si="60"/>
        <v/>
      </c>
      <c r="N296" s="13" t="str">
        <f t="shared" ca="1" si="61"/>
        <v/>
      </c>
      <c r="O296" s="11" t="str">
        <f t="shared" ca="1" si="58"/>
        <v>SIN FECHA</v>
      </c>
      <c r="P296" s="6" t="str">
        <f t="shared" si="62"/>
        <v/>
      </c>
      <c r="Q296" s="18"/>
    </row>
    <row r="297" spans="1:17" s="9" customFormat="1" ht="27.6" customHeight="1">
      <c r="A297" s="6"/>
      <c r="B297" s="6"/>
      <c r="C297" s="11"/>
      <c r="D297" s="6"/>
      <c r="E297" s="11"/>
      <c r="F297" s="6"/>
      <c r="G297" s="6"/>
      <c r="H297" s="26"/>
      <c r="I297" s="26"/>
      <c r="J297" s="6"/>
      <c r="K297" s="7"/>
      <c r="L297" s="11"/>
      <c r="M297" s="7" t="str">
        <f t="shared" si="60"/>
        <v/>
      </c>
      <c r="N297" s="13" t="str">
        <f t="shared" ca="1" si="61"/>
        <v/>
      </c>
      <c r="O297" s="11" t="str">
        <f t="shared" ca="1" si="58"/>
        <v>SIN FECHA</v>
      </c>
      <c r="P297" s="6" t="str">
        <f t="shared" si="62"/>
        <v/>
      </c>
      <c r="Q297" s="18"/>
    </row>
    <row r="298" spans="1:17" s="9" customFormat="1" ht="27.6" customHeight="1">
      <c r="A298" s="6"/>
      <c r="B298" s="6"/>
      <c r="C298" s="11"/>
      <c r="D298" s="6"/>
      <c r="E298" s="11"/>
      <c r="F298" s="6"/>
      <c r="G298" s="6"/>
      <c r="H298" s="26"/>
      <c r="I298" s="26"/>
      <c r="J298" s="6"/>
      <c r="K298" s="7"/>
      <c r="L298" s="11"/>
      <c r="M298" s="7" t="str">
        <f t="shared" si="60"/>
        <v/>
      </c>
      <c r="N298" s="13" t="str">
        <f t="shared" ca="1" si="61"/>
        <v/>
      </c>
      <c r="O298" s="11" t="str">
        <f t="shared" ca="1" si="58"/>
        <v>SIN FECHA</v>
      </c>
      <c r="P298" s="6" t="str">
        <f t="shared" si="62"/>
        <v/>
      </c>
      <c r="Q298" s="18"/>
    </row>
    <row r="299" spans="1:17" s="9" customFormat="1" ht="27.6" customHeight="1">
      <c r="A299" s="6"/>
      <c r="B299" s="6"/>
      <c r="C299" s="11"/>
      <c r="D299" s="6"/>
      <c r="E299" s="11"/>
      <c r="F299" s="6"/>
      <c r="G299" s="6"/>
      <c r="H299" s="26"/>
      <c r="I299" s="26"/>
      <c r="J299" s="6"/>
      <c r="K299" s="7"/>
      <c r="L299" s="11"/>
      <c r="M299" s="7" t="str">
        <f t="shared" si="60"/>
        <v/>
      </c>
      <c r="N299" s="13" t="str">
        <f t="shared" ca="1" si="61"/>
        <v/>
      </c>
      <c r="O299" s="11" t="str">
        <f t="shared" ref="O299:O315" ca="1" si="63">IF(M299="","SIN FECHA",IF(M299&lt;TODAY(),"VENCIDO",IF(M299-TODAY()&lt;=30,"POR VENCER","VIGENTE")))</f>
        <v>SIN FECHA</v>
      </c>
      <c r="P299" s="6" t="str">
        <f t="shared" si="62"/>
        <v/>
      </c>
      <c r="Q299" s="18"/>
    </row>
    <row r="300" spans="1:17" s="9" customFormat="1" ht="27.6" customHeight="1">
      <c r="A300" s="6"/>
      <c r="B300" s="6"/>
      <c r="C300" s="11"/>
      <c r="D300" s="6"/>
      <c r="E300" s="11"/>
      <c r="F300" s="6"/>
      <c r="G300" s="6"/>
      <c r="H300" s="26"/>
      <c r="I300" s="26"/>
      <c r="J300" s="6"/>
      <c r="K300" s="7"/>
      <c r="L300" s="11"/>
      <c r="M300" s="7" t="str">
        <f t="shared" si="60"/>
        <v/>
      </c>
      <c r="N300" s="13" t="str">
        <f t="shared" ca="1" si="61"/>
        <v/>
      </c>
      <c r="O300" s="11" t="str">
        <f t="shared" ca="1" si="63"/>
        <v>SIN FECHA</v>
      </c>
      <c r="P300" s="6" t="str">
        <f t="shared" si="62"/>
        <v/>
      </c>
      <c r="Q300" s="18"/>
    </row>
    <row r="301" spans="1:17" s="9" customFormat="1" ht="27.6" customHeight="1">
      <c r="A301" s="6"/>
      <c r="B301" s="6"/>
      <c r="C301" s="11"/>
      <c r="D301" s="6"/>
      <c r="E301" s="11"/>
      <c r="F301" s="6"/>
      <c r="G301" s="6"/>
      <c r="H301" s="26"/>
      <c r="I301" s="26"/>
      <c r="J301" s="6"/>
      <c r="K301" s="7"/>
      <c r="L301" s="11"/>
      <c r="M301" s="7" t="str">
        <f t="shared" si="60"/>
        <v/>
      </c>
      <c r="N301" s="13" t="str">
        <f t="shared" ca="1" si="61"/>
        <v/>
      </c>
      <c r="O301" s="11" t="str">
        <f t="shared" ca="1" si="63"/>
        <v>SIN FECHA</v>
      </c>
      <c r="P301" s="6" t="str">
        <f t="shared" si="62"/>
        <v/>
      </c>
      <c r="Q301" s="18"/>
    </row>
    <row r="302" spans="1:17" s="9" customFormat="1" ht="27.6" customHeight="1">
      <c r="A302" s="6"/>
      <c r="B302" s="6"/>
      <c r="C302" s="11"/>
      <c r="D302" s="6"/>
      <c r="E302" s="11"/>
      <c r="F302" s="6"/>
      <c r="G302" s="6"/>
      <c r="H302" s="26"/>
      <c r="I302" s="26"/>
      <c r="J302" s="6"/>
      <c r="K302" s="7"/>
      <c r="L302" s="11"/>
      <c r="M302" s="7" t="str">
        <f t="shared" si="60"/>
        <v/>
      </c>
      <c r="N302" s="13" t="str">
        <f t="shared" ca="1" si="61"/>
        <v/>
      </c>
      <c r="O302" s="11" t="str">
        <f t="shared" ca="1" si="63"/>
        <v>SIN FECHA</v>
      </c>
      <c r="P302" s="6" t="str">
        <f t="shared" si="62"/>
        <v/>
      </c>
      <c r="Q302" s="18"/>
    </row>
    <row r="303" spans="1:17" s="9" customFormat="1" ht="27.6" customHeight="1">
      <c r="A303" s="6"/>
      <c r="B303" s="6"/>
      <c r="C303" s="11"/>
      <c r="D303" s="6"/>
      <c r="E303" s="11"/>
      <c r="F303" s="6"/>
      <c r="G303" s="6"/>
      <c r="H303" s="26"/>
      <c r="I303" s="26"/>
      <c r="J303" s="6"/>
      <c r="K303" s="7"/>
      <c r="L303" s="11"/>
      <c r="M303" s="7" t="str">
        <f t="shared" si="60"/>
        <v/>
      </c>
      <c r="N303" s="13" t="str">
        <f t="shared" ca="1" si="61"/>
        <v/>
      </c>
      <c r="O303" s="11" t="str">
        <f t="shared" ca="1" si="63"/>
        <v>SIN FECHA</v>
      </c>
      <c r="P303" s="6" t="str">
        <f t="shared" si="62"/>
        <v/>
      </c>
      <c r="Q303" s="18"/>
    </row>
    <row r="304" spans="1:17" s="9" customFormat="1" ht="27.6" customHeight="1">
      <c r="A304" s="6"/>
      <c r="B304" s="6"/>
      <c r="C304" s="11"/>
      <c r="D304" s="6"/>
      <c r="E304" s="11"/>
      <c r="F304" s="6"/>
      <c r="G304" s="6"/>
      <c r="H304" s="26"/>
      <c r="I304" s="26"/>
      <c r="J304" s="6"/>
      <c r="K304" s="7"/>
      <c r="L304" s="11"/>
      <c r="M304" s="7" t="str">
        <f t="shared" si="60"/>
        <v/>
      </c>
      <c r="N304" s="13" t="str">
        <f t="shared" ca="1" si="61"/>
        <v/>
      </c>
      <c r="O304" s="11" t="str">
        <f t="shared" ca="1" si="63"/>
        <v>SIN FECHA</v>
      </c>
      <c r="P304" s="6" t="str">
        <f t="shared" si="62"/>
        <v/>
      </c>
      <c r="Q304" s="18"/>
    </row>
    <row r="305" spans="1:17" s="9" customFormat="1" ht="27.6" customHeight="1">
      <c r="A305" s="6"/>
      <c r="B305" s="6"/>
      <c r="C305" s="11"/>
      <c r="D305" s="6"/>
      <c r="E305" s="11"/>
      <c r="F305" s="6"/>
      <c r="G305" s="6"/>
      <c r="H305" s="26"/>
      <c r="I305" s="26"/>
      <c r="J305" s="6"/>
      <c r="K305" s="7"/>
      <c r="L305" s="11"/>
      <c r="M305" s="7" t="str">
        <f t="shared" si="60"/>
        <v/>
      </c>
      <c r="N305" s="13" t="str">
        <f t="shared" ca="1" si="61"/>
        <v/>
      </c>
      <c r="O305" s="11" t="str">
        <f t="shared" ca="1" si="63"/>
        <v>SIN FECHA</v>
      </c>
      <c r="P305" s="6" t="str">
        <f t="shared" si="62"/>
        <v/>
      </c>
      <c r="Q305" s="18"/>
    </row>
    <row r="306" spans="1:17" s="9" customFormat="1" ht="27.6" customHeight="1">
      <c r="A306" s="6"/>
      <c r="B306" s="6"/>
      <c r="C306" s="11"/>
      <c r="D306" s="6"/>
      <c r="E306" s="11"/>
      <c r="F306" s="6"/>
      <c r="G306" s="6"/>
      <c r="H306" s="26"/>
      <c r="I306" s="26"/>
      <c r="J306" s="6"/>
      <c r="K306" s="7"/>
      <c r="L306" s="11"/>
      <c r="M306" s="7" t="str">
        <f t="shared" si="60"/>
        <v/>
      </c>
      <c r="N306" s="13" t="str">
        <f t="shared" ca="1" si="61"/>
        <v/>
      </c>
      <c r="O306" s="11" t="str">
        <f t="shared" ca="1" si="63"/>
        <v>SIN FECHA</v>
      </c>
      <c r="P306" s="6" t="str">
        <f t="shared" si="62"/>
        <v/>
      </c>
      <c r="Q306" s="18"/>
    </row>
    <row r="307" spans="1:17" s="9" customFormat="1" ht="27.6" customHeight="1">
      <c r="A307" s="6"/>
      <c r="B307" s="6"/>
      <c r="C307" s="11"/>
      <c r="D307" s="6"/>
      <c r="E307" s="11"/>
      <c r="F307" s="6"/>
      <c r="G307" s="6"/>
      <c r="H307" s="26"/>
      <c r="I307" s="26"/>
      <c r="J307" s="6"/>
      <c r="K307" s="7"/>
      <c r="L307" s="11"/>
      <c r="M307" s="7" t="str">
        <f t="shared" si="60"/>
        <v/>
      </c>
      <c r="N307" s="13" t="str">
        <f t="shared" ca="1" si="61"/>
        <v/>
      </c>
      <c r="O307" s="11" t="str">
        <f t="shared" ca="1" si="63"/>
        <v>SIN FECHA</v>
      </c>
      <c r="P307" s="6" t="str">
        <f t="shared" si="62"/>
        <v/>
      </c>
      <c r="Q307" s="18"/>
    </row>
    <row r="308" spans="1:17" s="9" customFormat="1" ht="27.6" customHeight="1">
      <c r="A308" s="6"/>
      <c r="B308" s="6"/>
      <c r="C308" s="11"/>
      <c r="D308" s="6"/>
      <c r="E308" s="11"/>
      <c r="F308" s="6"/>
      <c r="G308" s="6"/>
      <c r="H308" s="26"/>
      <c r="I308" s="26"/>
      <c r="J308" s="6"/>
      <c r="K308" s="7"/>
      <c r="L308" s="11"/>
      <c r="M308" s="7" t="str">
        <f t="shared" si="60"/>
        <v/>
      </c>
      <c r="N308" s="13" t="str">
        <f t="shared" ca="1" si="61"/>
        <v/>
      </c>
      <c r="O308" s="11" t="str">
        <f t="shared" ca="1" si="63"/>
        <v>SIN FECHA</v>
      </c>
      <c r="P308" s="6" t="str">
        <f t="shared" si="62"/>
        <v/>
      </c>
      <c r="Q308" s="18"/>
    </row>
    <row r="309" spans="1:17" s="9" customFormat="1" ht="27.6" customHeight="1">
      <c r="A309" s="6"/>
      <c r="B309" s="6"/>
      <c r="C309" s="11"/>
      <c r="D309" s="6"/>
      <c r="E309" s="11"/>
      <c r="F309" s="6"/>
      <c r="G309" s="6"/>
      <c r="H309" s="26"/>
      <c r="I309" s="26"/>
      <c r="J309" s="6"/>
      <c r="K309" s="7"/>
      <c r="L309" s="11"/>
      <c r="M309" s="7" t="str">
        <f t="shared" si="60"/>
        <v/>
      </c>
      <c r="N309" s="13" t="str">
        <f t="shared" ca="1" si="61"/>
        <v/>
      </c>
      <c r="O309" s="11" t="str">
        <f t="shared" ca="1" si="63"/>
        <v>SIN FECHA</v>
      </c>
      <c r="P309" s="6" t="str">
        <f t="shared" si="62"/>
        <v/>
      </c>
      <c r="Q309" s="18"/>
    </row>
    <row r="310" spans="1:17" s="9" customFormat="1" ht="27.6" customHeight="1">
      <c r="A310" s="6"/>
      <c r="B310" s="6"/>
      <c r="C310" s="11"/>
      <c r="D310" s="6"/>
      <c r="E310" s="11"/>
      <c r="F310" s="6"/>
      <c r="G310" s="6"/>
      <c r="H310" s="26"/>
      <c r="I310" s="26"/>
      <c r="J310" s="6"/>
      <c r="K310" s="7"/>
      <c r="L310" s="11"/>
      <c r="M310" s="7" t="str">
        <f t="shared" si="60"/>
        <v/>
      </c>
      <c r="N310" s="13" t="str">
        <f t="shared" ca="1" si="61"/>
        <v/>
      </c>
      <c r="O310" s="11" t="str">
        <f t="shared" ca="1" si="63"/>
        <v>SIN FECHA</v>
      </c>
      <c r="P310" s="6" t="str">
        <f t="shared" si="62"/>
        <v/>
      </c>
      <c r="Q310" s="18"/>
    </row>
    <row r="311" spans="1:17" s="9" customFormat="1" ht="27.6" customHeight="1">
      <c r="A311" s="6"/>
      <c r="B311" s="6"/>
      <c r="C311" s="11"/>
      <c r="D311" s="6"/>
      <c r="E311" s="11"/>
      <c r="F311" s="6"/>
      <c r="G311" s="6"/>
      <c r="H311" s="26"/>
      <c r="I311" s="26"/>
      <c r="J311" s="6"/>
      <c r="K311" s="7"/>
      <c r="L311" s="11"/>
      <c r="M311" s="7" t="str">
        <f t="shared" si="60"/>
        <v/>
      </c>
      <c r="N311" s="13" t="str">
        <f t="shared" ca="1" si="61"/>
        <v/>
      </c>
      <c r="O311" s="11" t="str">
        <f t="shared" ca="1" si="63"/>
        <v>SIN FECHA</v>
      </c>
      <c r="P311" s="6" t="str">
        <f t="shared" si="62"/>
        <v/>
      </c>
      <c r="Q311" s="18"/>
    </row>
    <row r="312" spans="1:17" s="9" customFormat="1" ht="27.6" customHeight="1">
      <c r="A312" s="6"/>
      <c r="B312" s="6"/>
      <c r="C312" s="11"/>
      <c r="D312" s="6"/>
      <c r="E312" s="11"/>
      <c r="F312" s="6"/>
      <c r="G312" s="6"/>
      <c r="H312" s="26"/>
      <c r="I312" s="26"/>
      <c r="J312" s="6"/>
      <c r="K312" s="7"/>
      <c r="L312" s="11"/>
      <c r="M312" s="7" t="str">
        <f t="shared" si="60"/>
        <v/>
      </c>
      <c r="N312" s="13" t="str">
        <f t="shared" ca="1" si="61"/>
        <v/>
      </c>
      <c r="O312" s="11" t="str">
        <f t="shared" ca="1" si="63"/>
        <v>SIN FECHA</v>
      </c>
      <c r="P312" s="6" t="str">
        <f t="shared" si="62"/>
        <v/>
      </c>
      <c r="Q312" s="18"/>
    </row>
    <row r="313" spans="1:17" s="9" customFormat="1" ht="27.6" customHeight="1">
      <c r="A313" s="6"/>
      <c r="B313" s="6"/>
      <c r="C313" s="11"/>
      <c r="D313" s="6"/>
      <c r="E313" s="11"/>
      <c r="F313" s="6"/>
      <c r="G313" s="6"/>
      <c r="H313" s="26"/>
      <c r="I313" s="26"/>
      <c r="J313" s="6"/>
      <c r="K313" s="7"/>
      <c r="L313" s="11"/>
      <c r="M313" s="7" t="str">
        <f t="shared" si="60"/>
        <v/>
      </c>
      <c r="N313" s="13" t="str">
        <f t="shared" ca="1" si="61"/>
        <v/>
      </c>
      <c r="O313" s="11" t="str">
        <f t="shared" ca="1" si="63"/>
        <v>SIN FECHA</v>
      </c>
      <c r="P313" s="6" t="str">
        <f t="shared" si="62"/>
        <v/>
      </c>
      <c r="Q313" s="18"/>
    </row>
    <row r="314" spans="1:17" s="9" customFormat="1" ht="27.6" customHeight="1">
      <c r="A314" s="6"/>
      <c r="B314" s="6"/>
      <c r="C314" s="11"/>
      <c r="D314" s="6"/>
      <c r="E314" s="11"/>
      <c r="F314" s="6"/>
      <c r="G314" s="6"/>
      <c r="H314" s="26"/>
      <c r="I314" s="26"/>
      <c r="J314" s="6"/>
      <c r="K314" s="7"/>
      <c r="L314" s="11"/>
      <c r="M314" s="7" t="str">
        <f t="shared" si="60"/>
        <v/>
      </c>
      <c r="N314" s="13" t="str">
        <f t="shared" ca="1" si="61"/>
        <v/>
      </c>
      <c r="O314" s="11" t="str">
        <f t="shared" ca="1" si="63"/>
        <v>SIN FECHA</v>
      </c>
      <c r="P314" s="6" t="str">
        <f t="shared" si="62"/>
        <v/>
      </c>
      <c r="Q314" s="18"/>
    </row>
    <row r="315" spans="1:17" s="9" customFormat="1" ht="27.6" customHeight="1">
      <c r="A315" s="6"/>
      <c r="B315" s="6"/>
      <c r="C315" s="11"/>
      <c r="D315" s="6"/>
      <c r="E315" s="11"/>
      <c r="F315" s="6"/>
      <c r="G315" s="6"/>
      <c r="H315" s="26"/>
      <c r="I315" s="26"/>
      <c r="J315" s="6"/>
      <c r="K315" s="7"/>
      <c r="L315" s="11"/>
      <c r="M315" s="7" t="str">
        <f t="shared" si="60"/>
        <v/>
      </c>
      <c r="N315" s="13" t="str">
        <f t="shared" ca="1" si="61"/>
        <v/>
      </c>
      <c r="O315" s="11" t="str">
        <f t="shared" ca="1" si="63"/>
        <v>SIN FECHA</v>
      </c>
      <c r="P315" s="6" t="str">
        <f t="shared" si="62"/>
        <v/>
      </c>
      <c r="Q315" s="18"/>
    </row>
    <row r="316" spans="1:17" s="9" customFormat="1" ht="27.6" customHeight="1">
      <c r="A316" s="6"/>
      <c r="B316" s="6"/>
      <c r="C316" s="11"/>
      <c r="D316" s="6"/>
      <c r="E316" s="11"/>
      <c r="F316" s="6"/>
      <c r="G316" s="6"/>
      <c r="H316" s="26"/>
      <c r="I316" s="26"/>
      <c r="J316" s="6"/>
      <c r="K316" s="7"/>
      <c r="L316" s="11"/>
      <c r="M316" s="7" t="str">
        <f t="shared" ref="M316:M379" si="64">IF(OR(K316="",L316=""),"",DATE(YEAR(K316)+L316,MONTH(K316),DAY(K316))-1)</f>
        <v/>
      </c>
      <c r="N316" s="13" t="str">
        <f t="shared" ref="N316:N379" ca="1" si="65">IF(M316="","",M316-TODAY())</f>
        <v/>
      </c>
      <c r="O316" s="11" t="str">
        <f t="shared" ref="O316:O379" ca="1" si="66">IF(M316="","SIN FECHA",IF(M316&lt;TODAY(),"VENCIDO",IF(M316-TODAY()&lt;=30,"POR VENCER","VIGENTE")))</f>
        <v>SIN FECHA</v>
      </c>
      <c r="P316" s="6" t="str">
        <f t="shared" ref="P316:P379" si="67">UPPER(TRIM(E316&amp;" "&amp;D316&amp;" "&amp;G316&amp;" "&amp;H316&amp;" "&amp;I316&amp;" "&amp;B316&amp;" "&amp;J316))</f>
        <v/>
      </c>
      <c r="Q316" s="18"/>
    </row>
    <row r="317" spans="1:17" s="9" customFormat="1" ht="27.6" customHeight="1">
      <c r="A317" s="6"/>
      <c r="B317" s="6"/>
      <c r="C317" s="11"/>
      <c r="D317" s="6"/>
      <c r="E317" s="11"/>
      <c r="F317" s="6"/>
      <c r="G317" s="6"/>
      <c r="H317" s="26"/>
      <c r="I317" s="26"/>
      <c r="J317" s="6"/>
      <c r="K317" s="7"/>
      <c r="L317" s="11"/>
      <c r="M317" s="7" t="str">
        <f t="shared" si="64"/>
        <v/>
      </c>
      <c r="N317" s="13" t="str">
        <f t="shared" ca="1" si="65"/>
        <v/>
      </c>
      <c r="O317" s="11" t="str">
        <f t="shared" ca="1" si="66"/>
        <v>SIN FECHA</v>
      </c>
      <c r="P317" s="6" t="str">
        <f t="shared" si="67"/>
        <v/>
      </c>
      <c r="Q317" s="18"/>
    </row>
    <row r="318" spans="1:17" s="9" customFormat="1" ht="27.6" customHeight="1">
      <c r="A318" s="6"/>
      <c r="B318" s="6"/>
      <c r="C318" s="11"/>
      <c r="D318" s="6"/>
      <c r="E318" s="11"/>
      <c r="F318" s="6"/>
      <c r="G318" s="6"/>
      <c r="H318" s="26"/>
      <c r="I318" s="26"/>
      <c r="J318" s="6"/>
      <c r="K318" s="7"/>
      <c r="L318" s="11"/>
      <c r="M318" s="7" t="str">
        <f t="shared" si="64"/>
        <v/>
      </c>
      <c r="N318" s="13" t="str">
        <f t="shared" ca="1" si="65"/>
        <v/>
      </c>
      <c r="O318" s="11" t="str">
        <f t="shared" ca="1" si="66"/>
        <v>SIN FECHA</v>
      </c>
      <c r="P318" s="6" t="str">
        <f t="shared" si="67"/>
        <v/>
      </c>
      <c r="Q318" s="18"/>
    </row>
    <row r="319" spans="1:17" s="9" customFormat="1" ht="27.6" customHeight="1">
      <c r="A319" s="6"/>
      <c r="B319" s="6"/>
      <c r="C319" s="11"/>
      <c r="D319" s="6"/>
      <c r="E319" s="11"/>
      <c r="F319" s="6"/>
      <c r="G319" s="6"/>
      <c r="H319" s="26"/>
      <c r="I319" s="26"/>
      <c r="J319" s="6"/>
      <c r="K319" s="7"/>
      <c r="L319" s="11"/>
      <c r="M319" s="7" t="str">
        <f t="shared" si="64"/>
        <v/>
      </c>
      <c r="N319" s="13" t="str">
        <f t="shared" ca="1" si="65"/>
        <v/>
      </c>
      <c r="O319" s="11" t="str">
        <f t="shared" ca="1" si="66"/>
        <v>SIN FECHA</v>
      </c>
      <c r="P319" s="6" t="str">
        <f t="shared" si="67"/>
        <v/>
      </c>
      <c r="Q319" s="18"/>
    </row>
    <row r="320" spans="1:17" s="9" customFormat="1" ht="27.6" customHeight="1">
      <c r="A320" s="6"/>
      <c r="B320" s="6"/>
      <c r="C320" s="11"/>
      <c r="D320" s="6"/>
      <c r="E320" s="11"/>
      <c r="F320" s="6"/>
      <c r="G320" s="6"/>
      <c r="H320" s="26"/>
      <c r="I320" s="26"/>
      <c r="J320" s="6"/>
      <c r="K320" s="7"/>
      <c r="L320" s="11"/>
      <c r="M320" s="7" t="str">
        <f t="shared" si="64"/>
        <v/>
      </c>
      <c r="N320" s="13" t="str">
        <f t="shared" ca="1" si="65"/>
        <v/>
      </c>
      <c r="O320" s="11" t="str">
        <f t="shared" ca="1" si="66"/>
        <v>SIN FECHA</v>
      </c>
      <c r="P320" s="6" t="str">
        <f t="shared" si="67"/>
        <v/>
      </c>
      <c r="Q320" s="18"/>
    </row>
    <row r="321" spans="1:17" s="9" customFormat="1" ht="27.6" customHeight="1">
      <c r="A321" s="6"/>
      <c r="B321" s="6"/>
      <c r="C321" s="11"/>
      <c r="D321" s="6"/>
      <c r="E321" s="11"/>
      <c r="F321" s="6"/>
      <c r="G321" s="6"/>
      <c r="H321" s="26"/>
      <c r="I321" s="26"/>
      <c r="J321" s="6"/>
      <c r="K321" s="7"/>
      <c r="L321" s="11"/>
      <c r="M321" s="7" t="str">
        <f t="shared" si="64"/>
        <v/>
      </c>
      <c r="N321" s="13" t="str">
        <f t="shared" ca="1" si="65"/>
        <v/>
      </c>
      <c r="O321" s="11" t="str">
        <f t="shared" ca="1" si="66"/>
        <v>SIN FECHA</v>
      </c>
      <c r="P321" s="6" t="str">
        <f t="shared" si="67"/>
        <v/>
      </c>
      <c r="Q321" s="18"/>
    </row>
    <row r="322" spans="1:17" s="9" customFormat="1" ht="27.6" customHeight="1">
      <c r="A322" s="6"/>
      <c r="B322" s="6"/>
      <c r="C322" s="11"/>
      <c r="D322" s="6"/>
      <c r="E322" s="11"/>
      <c r="F322" s="6"/>
      <c r="G322" s="6"/>
      <c r="H322" s="26"/>
      <c r="I322" s="26"/>
      <c r="J322" s="6"/>
      <c r="K322" s="7"/>
      <c r="L322" s="11"/>
      <c r="M322" s="7" t="str">
        <f t="shared" si="64"/>
        <v/>
      </c>
      <c r="N322" s="13" t="str">
        <f t="shared" ca="1" si="65"/>
        <v/>
      </c>
      <c r="O322" s="11" t="str">
        <f t="shared" ca="1" si="66"/>
        <v>SIN FECHA</v>
      </c>
      <c r="P322" s="6" t="str">
        <f t="shared" si="67"/>
        <v/>
      </c>
      <c r="Q322" s="18"/>
    </row>
    <row r="323" spans="1:17" s="9" customFormat="1" ht="27.6" customHeight="1">
      <c r="A323" s="6"/>
      <c r="B323" s="6"/>
      <c r="C323" s="11"/>
      <c r="D323" s="6"/>
      <c r="E323" s="11"/>
      <c r="F323" s="6"/>
      <c r="G323" s="6"/>
      <c r="H323" s="26"/>
      <c r="I323" s="26"/>
      <c r="J323" s="6"/>
      <c r="K323" s="7"/>
      <c r="L323" s="11"/>
      <c r="M323" s="7" t="str">
        <f t="shared" si="64"/>
        <v/>
      </c>
      <c r="N323" s="13" t="str">
        <f t="shared" ca="1" si="65"/>
        <v/>
      </c>
      <c r="O323" s="11" t="str">
        <f t="shared" ca="1" si="66"/>
        <v>SIN FECHA</v>
      </c>
      <c r="P323" s="6" t="str">
        <f t="shared" si="67"/>
        <v/>
      </c>
      <c r="Q323" s="18"/>
    </row>
    <row r="324" spans="1:17" s="9" customFormat="1" ht="27.6" customHeight="1">
      <c r="A324" s="6"/>
      <c r="B324" s="6"/>
      <c r="C324" s="11"/>
      <c r="D324" s="6"/>
      <c r="E324" s="11"/>
      <c r="F324" s="6"/>
      <c r="G324" s="6"/>
      <c r="H324" s="26"/>
      <c r="I324" s="26"/>
      <c r="J324" s="6"/>
      <c r="K324" s="7"/>
      <c r="L324" s="11"/>
      <c r="M324" s="7" t="str">
        <f t="shared" si="64"/>
        <v/>
      </c>
      <c r="N324" s="13" t="str">
        <f t="shared" ca="1" si="65"/>
        <v/>
      </c>
      <c r="O324" s="11" t="str">
        <f t="shared" ca="1" si="66"/>
        <v>SIN FECHA</v>
      </c>
      <c r="P324" s="6" t="str">
        <f t="shared" si="67"/>
        <v/>
      </c>
      <c r="Q324" s="18"/>
    </row>
    <row r="325" spans="1:17" s="9" customFormat="1" ht="27.6" customHeight="1">
      <c r="A325" s="6"/>
      <c r="B325" s="6"/>
      <c r="C325" s="11"/>
      <c r="D325" s="6"/>
      <c r="E325" s="11"/>
      <c r="F325" s="6"/>
      <c r="G325" s="6"/>
      <c r="H325" s="26"/>
      <c r="I325" s="26"/>
      <c r="J325" s="6"/>
      <c r="K325" s="7"/>
      <c r="L325" s="11"/>
      <c r="M325" s="7" t="str">
        <f t="shared" si="64"/>
        <v/>
      </c>
      <c r="N325" s="13" t="str">
        <f t="shared" ca="1" si="65"/>
        <v/>
      </c>
      <c r="O325" s="11" t="str">
        <f t="shared" ca="1" si="66"/>
        <v>SIN FECHA</v>
      </c>
      <c r="P325" s="6" t="str">
        <f t="shared" si="67"/>
        <v/>
      </c>
      <c r="Q325" s="18"/>
    </row>
    <row r="326" spans="1:17" s="9" customFormat="1" ht="27.6" customHeight="1">
      <c r="A326" s="6"/>
      <c r="B326" s="6"/>
      <c r="C326" s="11"/>
      <c r="D326" s="6"/>
      <c r="E326" s="11"/>
      <c r="F326" s="6"/>
      <c r="G326" s="6"/>
      <c r="H326" s="26"/>
      <c r="I326" s="26"/>
      <c r="J326" s="6"/>
      <c r="K326" s="7"/>
      <c r="L326" s="11"/>
      <c r="M326" s="7" t="str">
        <f t="shared" si="64"/>
        <v/>
      </c>
      <c r="N326" s="13" t="str">
        <f t="shared" ca="1" si="65"/>
        <v/>
      </c>
      <c r="O326" s="11" t="str">
        <f t="shared" ca="1" si="66"/>
        <v>SIN FECHA</v>
      </c>
      <c r="P326" s="6" t="str">
        <f t="shared" si="67"/>
        <v/>
      </c>
      <c r="Q326" s="18"/>
    </row>
    <row r="327" spans="1:17" s="9" customFormat="1" ht="27.6" customHeight="1">
      <c r="A327" s="6"/>
      <c r="B327" s="6"/>
      <c r="C327" s="11"/>
      <c r="D327" s="6"/>
      <c r="E327" s="11"/>
      <c r="F327" s="6"/>
      <c r="G327" s="6"/>
      <c r="H327" s="26"/>
      <c r="I327" s="26"/>
      <c r="J327" s="6"/>
      <c r="K327" s="7"/>
      <c r="L327" s="11"/>
      <c r="M327" s="7" t="str">
        <f t="shared" si="64"/>
        <v/>
      </c>
      <c r="N327" s="13" t="str">
        <f t="shared" ca="1" si="65"/>
        <v/>
      </c>
      <c r="O327" s="11" t="str">
        <f t="shared" ca="1" si="66"/>
        <v>SIN FECHA</v>
      </c>
      <c r="P327" s="6" t="str">
        <f t="shared" si="67"/>
        <v/>
      </c>
      <c r="Q327" s="18"/>
    </row>
    <row r="328" spans="1:17" s="9" customFormat="1" ht="27.6" customHeight="1">
      <c r="A328" s="6"/>
      <c r="B328" s="6"/>
      <c r="C328" s="11"/>
      <c r="D328" s="6"/>
      <c r="E328" s="11"/>
      <c r="F328" s="6"/>
      <c r="G328" s="6"/>
      <c r="H328" s="26"/>
      <c r="I328" s="26"/>
      <c r="J328" s="6"/>
      <c r="K328" s="7"/>
      <c r="L328" s="11"/>
      <c r="M328" s="7" t="str">
        <f t="shared" si="64"/>
        <v/>
      </c>
      <c r="N328" s="13" t="str">
        <f t="shared" ca="1" si="65"/>
        <v/>
      </c>
      <c r="O328" s="11" t="str">
        <f t="shared" ca="1" si="66"/>
        <v>SIN FECHA</v>
      </c>
      <c r="P328" s="6" t="str">
        <f t="shared" si="67"/>
        <v/>
      </c>
      <c r="Q328" s="18"/>
    </row>
    <row r="329" spans="1:17" s="9" customFormat="1" ht="27.6" customHeight="1">
      <c r="A329" s="6"/>
      <c r="B329" s="6"/>
      <c r="C329" s="11"/>
      <c r="D329" s="6"/>
      <c r="E329" s="11"/>
      <c r="F329" s="6"/>
      <c r="G329" s="6"/>
      <c r="H329" s="26"/>
      <c r="I329" s="26"/>
      <c r="J329" s="6"/>
      <c r="K329" s="7"/>
      <c r="L329" s="11"/>
      <c r="M329" s="7" t="str">
        <f t="shared" si="64"/>
        <v/>
      </c>
      <c r="N329" s="13" t="str">
        <f t="shared" ca="1" si="65"/>
        <v/>
      </c>
      <c r="O329" s="11" t="str">
        <f t="shared" ca="1" si="66"/>
        <v>SIN FECHA</v>
      </c>
      <c r="P329" s="6" t="str">
        <f t="shared" si="67"/>
        <v/>
      </c>
      <c r="Q329" s="18"/>
    </row>
    <row r="330" spans="1:17" s="9" customFormat="1" ht="27.6" customHeight="1">
      <c r="A330" s="6"/>
      <c r="B330" s="6"/>
      <c r="C330" s="11"/>
      <c r="D330" s="6"/>
      <c r="E330" s="11"/>
      <c r="F330" s="6"/>
      <c r="G330" s="6"/>
      <c r="H330" s="26"/>
      <c r="I330" s="26"/>
      <c r="J330" s="6"/>
      <c r="K330" s="7"/>
      <c r="L330" s="11"/>
      <c r="M330" s="7" t="str">
        <f t="shared" si="64"/>
        <v/>
      </c>
      <c r="N330" s="13" t="str">
        <f t="shared" ca="1" si="65"/>
        <v/>
      </c>
      <c r="O330" s="11" t="str">
        <f t="shared" ca="1" si="66"/>
        <v>SIN FECHA</v>
      </c>
      <c r="P330" s="6" t="str">
        <f t="shared" si="67"/>
        <v/>
      </c>
      <c r="Q330" s="18"/>
    </row>
    <row r="331" spans="1:17" s="9" customFormat="1" ht="27.6" customHeight="1">
      <c r="A331" s="6"/>
      <c r="B331" s="6"/>
      <c r="C331" s="11"/>
      <c r="D331" s="6"/>
      <c r="E331" s="11"/>
      <c r="F331" s="6"/>
      <c r="G331" s="6"/>
      <c r="H331" s="26"/>
      <c r="I331" s="26"/>
      <c r="J331" s="6"/>
      <c r="K331" s="7"/>
      <c r="L331" s="11"/>
      <c r="M331" s="7" t="str">
        <f t="shared" si="64"/>
        <v/>
      </c>
      <c r="N331" s="13" t="str">
        <f t="shared" ca="1" si="65"/>
        <v/>
      </c>
      <c r="O331" s="11" t="str">
        <f t="shared" ca="1" si="66"/>
        <v>SIN FECHA</v>
      </c>
      <c r="P331" s="6" t="str">
        <f t="shared" si="67"/>
        <v/>
      </c>
      <c r="Q331" s="18"/>
    </row>
    <row r="332" spans="1:17" s="9" customFormat="1" ht="27.6" customHeight="1">
      <c r="A332" s="6"/>
      <c r="B332" s="6"/>
      <c r="C332" s="11"/>
      <c r="D332" s="6"/>
      <c r="E332" s="11"/>
      <c r="F332" s="6"/>
      <c r="G332" s="6"/>
      <c r="H332" s="26"/>
      <c r="I332" s="26"/>
      <c r="J332" s="6"/>
      <c r="K332" s="7"/>
      <c r="L332" s="11"/>
      <c r="M332" s="7" t="str">
        <f t="shared" si="64"/>
        <v/>
      </c>
      <c r="N332" s="13" t="str">
        <f t="shared" ca="1" si="65"/>
        <v/>
      </c>
      <c r="O332" s="11" t="str">
        <f t="shared" ca="1" si="66"/>
        <v>SIN FECHA</v>
      </c>
      <c r="P332" s="6" t="str">
        <f t="shared" si="67"/>
        <v/>
      </c>
      <c r="Q332" s="18"/>
    </row>
    <row r="333" spans="1:17" s="9" customFormat="1" ht="27.6" customHeight="1">
      <c r="A333" s="6"/>
      <c r="B333" s="6"/>
      <c r="C333" s="11"/>
      <c r="D333" s="6"/>
      <c r="E333" s="11"/>
      <c r="F333" s="6"/>
      <c r="G333" s="6"/>
      <c r="H333" s="26"/>
      <c r="I333" s="26"/>
      <c r="J333" s="6"/>
      <c r="K333" s="7"/>
      <c r="L333" s="11"/>
      <c r="M333" s="7" t="str">
        <f t="shared" si="64"/>
        <v/>
      </c>
      <c r="N333" s="13" t="str">
        <f t="shared" ca="1" si="65"/>
        <v/>
      </c>
      <c r="O333" s="11" t="str">
        <f t="shared" ca="1" si="66"/>
        <v>SIN FECHA</v>
      </c>
      <c r="P333" s="6" t="str">
        <f t="shared" si="67"/>
        <v/>
      </c>
      <c r="Q333" s="18"/>
    </row>
    <row r="334" spans="1:17" s="9" customFormat="1" ht="27.6" customHeight="1">
      <c r="A334" s="6"/>
      <c r="B334" s="6"/>
      <c r="C334" s="11"/>
      <c r="D334" s="6"/>
      <c r="E334" s="11"/>
      <c r="F334" s="6"/>
      <c r="G334" s="6"/>
      <c r="H334" s="26"/>
      <c r="I334" s="26"/>
      <c r="J334" s="6"/>
      <c r="K334" s="7"/>
      <c r="L334" s="11"/>
      <c r="M334" s="7" t="str">
        <f t="shared" si="64"/>
        <v/>
      </c>
      <c r="N334" s="13" t="str">
        <f t="shared" ca="1" si="65"/>
        <v/>
      </c>
      <c r="O334" s="11" t="str">
        <f t="shared" ca="1" si="66"/>
        <v>SIN FECHA</v>
      </c>
      <c r="P334" s="6" t="str">
        <f t="shared" si="67"/>
        <v/>
      </c>
      <c r="Q334" s="18"/>
    </row>
    <row r="335" spans="1:17" s="9" customFormat="1" ht="27.6" customHeight="1">
      <c r="A335" s="6"/>
      <c r="B335" s="6"/>
      <c r="C335" s="11"/>
      <c r="D335" s="6"/>
      <c r="E335" s="11"/>
      <c r="F335" s="6"/>
      <c r="G335" s="6"/>
      <c r="H335" s="26"/>
      <c r="I335" s="26"/>
      <c r="J335" s="6"/>
      <c r="K335" s="7"/>
      <c r="L335" s="11"/>
      <c r="M335" s="7" t="str">
        <f t="shared" si="64"/>
        <v/>
      </c>
      <c r="N335" s="13" t="str">
        <f t="shared" ca="1" si="65"/>
        <v/>
      </c>
      <c r="O335" s="11" t="str">
        <f t="shared" ca="1" si="66"/>
        <v>SIN FECHA</v>
      </c>
      <c r="P335" s="6" t="str">
        <f t="shared" si="67"/>
        <v/>
      </c>
      <c r="Q335" s="18"/>
    </row>
    <row r="336" spans="1:17" s="9" customFormat="1" ht="27.6" customHeight="1">
      <c r="A336" s="6"/>
      <c r="B336" s="6"/>
      <c r="C336" s="11"/>
      <c r="D336" s="6"/>
      <c r="E336" s="11"/>
      <c r="F336" s="6"/>
      <c r="G336" s="6"/>
      <c r="H336" s="26"/>
      <c r="I336" s="26"/>
      <c r="J336" s="6"/>
      <c r="K336" s="7"/>
      <c r="L336" s="11"/>
      <c r="M336" s="7" t="str">
        <f t="shared" si="64"/>
        <v/>
      </c>
      <c r="N336" s="13" t="str">
        <f t="shared" ca="1" si="65"/>
        <v/>
      </c>
      <c r="O336" s="11" t="str">
        <f t="shared" ca="1" si="66"/>
        <v>SIN FECHA</v>
      </c>
      <c r="P336" s="6" t="str">
        <f t="shared" si="67"/>
        <v/>
      </c>
      <c r="Q336" s="18"/>
    </row>
    <row r="337" spans="1:17" s="9" customFormat="1" ht="27.6" customHeight="1">
      <c r="A337" s="6"/>
      <c r="B337" s="6"/>
      <c r="C337" s="11"/>
      <c r="D337" s="6"/>
      <c r="E337" s="11"/>
      <c r="F337" s="6"/>
      <c r="G337" s="6"/>
      <c r="H337" s="26"/>
      <c r="I337" s="26"/>
      <c r="J337" s="6"/>
      <c r="K337" s="7"/>
      <c r="L337" s="11"/>
      <c r="M337" s="7" t="str">
        <f t="shared" si="64"/>
        <v/>
      </c>
      <c r="N337" s="13" t="str">
        <f t="shared" ca="1" si="65"/>
        <v/>
      </c>
      <c r="O337" s="11" t="str">
        <f t="shared" ca="1" si="66"/>
        <v>SIN FECHA</v>
      </c>
      <c r="P337" s="6" t="str">
        <f t="shared" si="67"/>
        <v/>
      </c>
      <c r="Q337" s="18"/>
    </row>
    <row r="338" spans="1:17" s="9" customFormat="1" ht="27.6" customHeight="1">
      <c r="A338" s="6"/>
      <c r="B338" s="6"/>
      <c r="C338" s="11"/>
      <c r="D338" s="6"/>
      <c r="E338" s="11"/>
      <c r="F338" s="6"/>
      <c r="G338" s="6"/>
      <c r="H338" s="26"/>
      <c r="I338" s="26"/>
      <c r="J338" s="6"/>
      <c r="K338" s="7"/>
      <c r="L338" s="11"/>
      <c r="M338" s="7" t="str">
        <f t="shared" si="64"/>
        <v/>
      </c>
      <c r="N338" s="13" t="str">
        <f t="shared" ca="1" si="65"/>
        <v/>
      </c>
      <c r="O338" s="11" t="str">
        <f t="shared" ca="1" si="66"/>
        <v>SIN FECHA</v>
      </c>
      <c r="P338" s="6" t="str">
        <f t="shared" si="67"/>
        <v/>
      </c>
      <c r="Q338" s="18"/>
    </row>
    <row r="339" spans="1:17" s="9" customFormat="1" ht="27.6" customHeight="1">
      <c r="A339" s="6"/>
      <c r="B339" s="6"/>
      <c r="C339" s="11"/>
      <c r="D339" s="6"/>
      <c r="E339" s="11"/>
      <c r="F339" s="6"/>
      <c r="G339" s="6"/>
      <c r="H339" s="26"/>
      <c r="I339" s="26"/>
      <c r="J339" s="6"/>
      <c r="K339" s="7"/>
      <c r="L339" s="11"/>
      <c r="M339" s="7" t="str">
        <f t="shared" si="64"/>
        <v/>
      </c>
      <c r="N339" s="13" t="str">
        <f t="shared" ca="1" si="65"/>
        <v/>
      </c>
      <c r="O339" s="11" t="str">
        <f t="shared" ca="1" si="66"/>
        <v>SIN FECHA</v>
      </c>
      <c r="P339" s="6" t="str">
        <f t="shared" si="67"/>
        <v/>
      </c>
      <c r="Q339" s="18"/>
    </row>
    <row r="340" spans="1:17" s="9" customFormat="1" ht="27.6" customHeight="1">
      <c r="A340" s="6"/>
      <c r="B340" s="6"/>
      <c r="C340" s="11"/>
      <c r="D340" s="6"/>
      <c r="E340" s="11"/>
      <c r="F340" s="6"/>
      <c r="G340" s="6"/>
      <c r="H340" s="26"/>
      <c r="I340" s="26"/>
      <c r="J340" s="6"/>
      <c r="K340" s="7"/>
      <c r="L340" s="11"/>
      <c r="M340" s="7" t="str">
        <f t="shared" si="64"/>
        <v/>
      </c>
      <c r="N340" s="13" t="str">
        <f t="shared" ca="1" si="65"/>
        <v/>
      </c>
      <c r="O340" s="11" t="str">
        <f t="shared" ca="1" si="66"/>
        <v>SIN FECHA</v>
      </c>
      <c r="P340" s="6" t="str">
        <f t="shared" si="67"/>
        <v/>
      </c>
      <c r="Q340" s="18"/>
    </row>
    <row r="341" spans="1:17" s="9" customFormat="1" ht="27.6" customHeight="1">
      <c r="A341" s="6"/>
      <c r="B341" s="6"/>
      <c r="C341" s="11"/>
      <c r="D341" s="6"/>
      <c r="E341" s="11"/>
      <c r="F341" s="6"/>
      <c r="G341" s="6"/>
      <c r="H341" s="26"/>
      <c r="I341" s="26"/>
      <c r="J341" s="6"/>
      <c r="K341" s="7"/>
      <c r="L341" s="11"/>
      <c r="M341" s="7" t="str">
        <f t="shared" si="64"/>
        <v/>
      </c>
      <c r="N341" s="13" t="str">
        <f t="shared" ca="1" si="65"/>
        <v/>
      </c>
      <c r="O341" s="11" t="str">
        <f t="shared" ca="1" si="66"/>
        <v>SIN FECHA</v>
      </c>
      <c r="P341" s="6" t="str">
        <f t="shared" si="67"/>
        <v/>
      </c>
      <c r="Q341" s="18"/>
    </row>
    <row r="342" spans="1:17" s="9" customFormat="1" ht="27.6" customHeight="1">
      <c r="A342" s="6"/>
      <c r="B342" s="6"/>
      <c r="C342" s="11"/>
      <c r="D342" s="6"/>
      <c r="E342" s="11"/>
      <c r="F342" s="6"/>
      <c r="G342" s="6"/>
      <c r="H342" s="26"/>
      <c r="I342" s="26"/>
      <c r="J342" s="6"/>
      <c r="K342" s="7"/>
      <c r="L342" s="11"/>
      <c r="M342" s="7" t="str">
        <f t="shared" si="64"/>
        <v/>
      </c>
      <c r="N342" s="13" t="str">
        <f t="shared" ca="1" si="65"/>
        <v/>
      </c>
      <c r="O342" s="11" t="str">
        <f t="shared" ca="1" si="66"/>
        <v>SIN FECHA</v>
      </c>
      <c r="P342" s="6" t="str">
        <f t="shared" si="67"/>
        <v/>
      </c>
      <c r="Q342" s="18"/>
    </row>
    <row r="343" spans="1:17" s="9" customFormat="1" ht="27.6" customHeight="1">
      <c r="A343" s="6"/>
      <c r="B343" s="6"/>
      <c r="C343" s="11"/>
      <c r="D343" s="6"/>
      <c r="E343" s="11"/>
      <c r="F343" s="6"/>
      <c r="G343" s="6"/>
      <c r="H343" s="26"/>
      <c r="I343" s="26"/>
      <c r="J343" s="6"/>
      <c r="K343" s="7"/>
      <c r="L343" s="11"/>
      <c r="M343" s="7" t="str">
        <f t="shared" si="64"/>
        <v/>
      </c>
      <c r="N343" s="13" t="str">
        <f t="shared" ca="1" si="65"/>
        <v/>
      </c>
      <c r="O343" s="11" t="str">
        <f t="shared" ca="1" si="66"/>
        <v>SIN FECHA</v>
      </c>
      <c r="P343" s="6" t="str">
        <f t="shared" si="67"/>
        <v/>
      </c>
      <c r="Q343" s="18"/>
    </row>
    <row r="344" spans="1:17" s="9" customFormat="1" ht="27.6" customHeight="1">
      <c r="A344" s="6"/>
      <c r="B344" s="6"/>
      <c r="C344" s="11"/>
      <c r="D344" s="6"/>
      <c r="E344" s="11"/>
      <c r="F344" s="6"/>
      <c r="G344" s="6"/>
      <c r="H344" s="26"/>
      <c r="I344" s="26"/>
      <c r="J344" s="6"/>
      <c r="K344" s="7"/>
      <c r="L344" s="11"/>
      <c r="M344" s="7" t="str">
        <f t="shared" si="64"/>
        <v/>
      </c>
      <c r="N344" s="13" t="str">
        <f t="shared" ca="1" si="65"/>
        <v/>
      </c>
      <c r="O344" s="11" t="str">
        <f t="shared" ca="1" si="66"/>
        <v>SIN FECHA</v>
      </c>
      <c r="P344" s="6" t="str">
        <f t="shared" si="67"/>
        <v/>
      </c>
      <c r="Q344" s="18"/>
    </row>
    <row r="345" spans="1:17" s="9" customFormat="1" ht="27.6" customHeight="1">
      <c r="A345" s="6"/>
      <c r="B345" s="6"/>
      <c r="C345" s="11"/>
      <c r="D345" s="6"/>
      <c r="E345" s="11"/>
      <c r="F345" s="6"/>
      <c r="G345" s="6"/>
      <c r="H345" s="26"/>
      <c r="I345" s="26"/>
      <c r="J345" s="6"/>
      <c r="K345" s="7"/>
      <c r="L345" s="11"/>
      <c r="M345" s="7" t="str">
        <f t="shared" si="64"/>
        <v/>
      </c>
      <c r="N345" s="13" t="str">
        <f t="shared" ca="1" si="65"/>
        <v/>
      </c>
      <c r="O345" s="11" t="str">
        <f t="shared" ca="1" si="66"/>
        <v>SIN FECHA</v>
      </c>
      <c r="P345" s="6" t="str">
        <f t="shared" si="67"/>
        <v/>
      </c>
      <c r="Q345" s="18"/>
    </row>
    <row r="346" spans="1:17" s="9" customFormat="1" ht="27.6" customHeight="1">
      <c r="A346" s="6"/>
      <c r="B346" s="6"/>
      <c r="C346" s="11"/>
      <c r="D346" s="6"/>
      <c r="E346" s="11"/>
      <c r="F346" s="6"/>
      <c r="G346" s="6"/>
      <c r="H346" s="26"/>
      <c r="I346" s="26"/>
      <c r="J346" s="6"/>
      <c r="K346" s="7"/>
      <c r="L346" s="11"/>
      <c r="M346" s="7" t="str">
        <f t="shared" si="64"/>
        <v/>
      </c>
      <c r="N346" s="13" t="str">
        <f t="shared" ca="1" si="65"/>
        <v/>
      </c>
      <c r="O346" s="11" t="str">
        <f t="shared" ca="1" si="66"/>
        <v>SIN FECHA</v>
      </c>
      <c r="P346" s="6" t="str">
        <f t="shared" si="67"/>
        <v/>
      </c>
      <c r="Q346" s="18"/>
    </row>
    <row r="347" spans="1:17" s="9" customFormat="1" ht="27.6" customHeight="1">
      <c r="A347" s="6"/>
      <c r="B347" s="6"/>
      <c r="C347" s="11"/>
      <c r="D347" s="6"/>
      <c r="E347" s="11"/>
      <c r="F347" s="6"/>
      <c r="G347" s="6"/>
      <c r="H347" s="26"/>
      <c r="I347" s="26"/>
      <c r="J347" s="6"/>
      <c r="K347" s="7"/>
      <c r="L347" s="11"/>
      <c r="M347" s="7" t="str">
        <f t="shared" si="64"/>
        <v/>
      </c>
      <c r="N347" s="13" t="str">
        <f t="shared" ca="1" si="65"/>
        <v/>
      </c>
      <c r="O347" s="11" t="str">
        <f t="shared" ca="1" si="66"/>
        <v>SIN FECHA</v>
      </c>
      <c r="P347" s="6" t="str">
        <f t="shared" si="67"/>
        <v/>
      </c>
      <c r="Q347" s="18"/>
    </row>
    <row r="348" spans="1:17" s="9" customFormat="1" ht="27.6" customHeight="1">
      <c r="A348" s="6"/>
      <c r="B348" s="6"/>
      <c r="C348" s="11"/>
      <c r="D348" s="6"/>
      <c r="E348" s="11"/>
      <c r="F348" s="6"/>
      <c r="G348" s="6"/>
      <c r="H348" s="26"/>
      <c r="I348" s="26"/>
      <c r="J348" s="6"/>
      <c r="K348" s="7"/>
      <c r="L348" s="11"/>
      <c r="M348" s="7" t="str">
        <f t="shared" si="64"/>
        <v/>
      </c>
      <c r="N348" s="13" t="str">
        <f t="shared" ca="1" si="65"/>
        <v/>
      </c>
      <c r="O348" s="11" t="str">
        <f t="shared" ca="1" si="66"/>
        <v>SIN FECHA</v>
      </c>
      <c r="P348" s="6" t="str">
        <f t="shared" si="67"/>
        <v/>
      </c>
      <c r="Q348" s="18"/>
    </row>
    <row r="349" spans="1:17" s="9" customFormat="1" ht="27.6" customHeight="1">
      <c r="A349" s="6"/>
      <c r="B349" s="6"/>
      <c r="C349" s="11"/>
      <c r="D349" s="6"/>
      <c r="E349" s="11"/>
      <c r="F349" s="6"/>
      <c r="G349" s="6"/>
      <c r="H349" s="26"/>
      <c r="I349" s="26"/>
      <c r="J349" s="6"/>
      <c r="K349" s="7"/>
      <c r="L349" s="11"/>
      <c r="M349" s="7" t="str">
        <f t="shared" si="64"/>
        <v/>
      </c>
      <c r="N349" s="13" t="str">
        <f t="shared" ca="1" si="65"/>
        <v/>
      </c>
      <c r="O349" s="11" t="str">
        <f t="shared" ca="1" si="66"/>
        <v>SIN FECHA</v>
      </c>
      <c r="P349" s="6" t="str">
        <f t="shared" si="67"/>
        <v/>
      </c>
      <c r="Q349" s="18"/>
    </row>
    <row r="350" spans="1:17" s="9" customFormat="1" ht="27.6" customHeight="1">
      <c r="A350" s="6"/>
      <c r="B350" s="6"/>
      <c r="C350" s="11"/>
      <c r="D350" s="6"/>
      <c r="E350" s="11"/>
      <c r="F350" s="6"/>
      <c r="G350" s="6"/>
      <c r="H350" s="26"/>
      <c r="I350" s="26"/>
      <c r="J350" s="6"/>
      <c r="K350" s="7"/>
      <c r="L350" s="11"/>
      <c r="M350" s="7" t="str">
        <f t="shared" si="64"/>
        <v/>
      </c>
      <c r="N350" s="13" t="str">
        <f t="shared" ca="1" si="65"/>
        <v/>
      </c>
      <c r="O350" s="11" t="str">
        <f t="shared" ca="1" si="66"/>
        <v>SIN FECHA</v>
      </c>
      <c r="P350" s="6" t="str">
        <f t="shared" si="67"/>
        <v/>
      </c>
      <c r="Q350" s="18"/>
    </row>
    <row r="351" spans="1:17" s="9" customFormat="1" ht="27.6" customHeight="1">
      <c r="A351" s="6"/>
      <c r="B351" s="6"/>
      <c r="C351" s="11"/>
      <c r="D351" s="6"/>
      <c r="E351" s="11"/>
      <c r="F351" s="6"/>
      <c r="G351" s="6"/>
      <c r="H351" s="26"/>
      <c r="I351" s="26"/>
      <c r="J351" s="6"/>
      <c r="K351" s="7"/>
      <c r="L351" s="11"/>
      <c r="M351" s="7" t="str">
        <f t="shared" si="64"/>
        <v/>
      </c>
      <c r="N351" s="13" t="str">
        <f t="shared" ca="1" si="65"/>
        <v/>
      </c>
      <c r="O351" s="11" t="str">
        <f t="shared" ca="1" si="66"/>
        <v>SIN FECHA</v>
      </c>
      <c r="P351" s="6" t="str">
        <f t="shared" si="67"/>
        <v/>
      </c>
      <c r="Q351" s="18"/>
    </row>
    <row r="352" spans="1:17" s="9" customFormat="1" ht="27.6" customHeight="1">
      <c r="A352" s="6"/>
      <c r="B352" s="6"/>
      <c r="C352" s="11"/>
      <c r="D352" s="6"/>
      <c r="E352" s="11"/>
      <c r="F352" s="6"/>
      <c r="G352" s="6"/>
      <c r="H352" s="26"/>
      <c r="I352" s="26"/>
      <c r="J352" s="6"/>
      <c r="K352" s="7"/>
      <c r="L352" s="11"/>
      <c r="M352" s="7" t="str">
        <f t="shared" si="64"/>
        <v/>
      </c>
      <c r="N352" s="13" t="str">
        <f t="shared" ca="1" si="65"/>
        <v/>
      </c>
      <c r="O352" s="11" t="str">
        <f t="shared" ca="1" si="66"/>
        <v>SIN FECHA</v>
      </c>
      <c r="P352" s="6" t="str">
        <f t="shared" si="67"/>
        <v/>
      </c>
      <c r="Q352" s="18"/>
    </row>
    <row r="353" spans="1:17" s="9" customFormat="1" ht="27.6" customHeight="1">
      <c r="A353" s="6"/>
      <c r="B353" s="6"/>
      <c r="C353" s="11"/>
      <c r="D353" s="6"/>
      <c r="E353" s="11"/>
      <c r="F353" s="6"/>
      <c r="G353" s="6"/>
      <c r="H353" s="26"/>
      <c r="I353" s="26"/>
      <c r="J353" s="6"/>
      <c r="K353" s="7"/>
      <c r="L353" s="11"/>
      <c r="M353" s="7" t="str">
        <f t="shared" si="64"/>
        <v/>
      </c>
      <c r="N353" s="13" t="str">
        <f t="shared" ca="1" si="65"/>
        <v/>
      </c>
      <c r="O353" s="11" t="str">
        <f t="shared" ca="1" si="66"/>
        <v>SIN FECHA</v>
      </c>
      <c r="P353" s="6" t="str">
        <f t="shared" si="67"/>
        <v/>
      </c>
      <c r="Q353" s="18"/>
    </row>
    <row r="354" spans="1:17" s="9" customFormat="1" ht="27.6" customHeight="1">
      <c r="A354" s="6"/>
      <c r="B354" s="6"/>
      <c r="C354" s="11"/>
      <c r="D354" s="6"/>
      <c r="E354" s="11"/>
      <c r="F354" s="6"/>
      <c r="G354" s="6"/>
      <c r="H354" s="26"/>
      <c r="I354" s="26"/>
      <c r="J354" s="6"/>
      <c r="K354" s="7"/>
      <c r="L354" s="11"/>
      <c r="M354" s="7" t="str">
        <f t="shared" si="64"/>
        <v/>
      </c>
      <c r="N354" s="13" t="str">
        <f t="shared" ca="1" si="65"/>
        <v/>
      </c>
      <c r="O354" s="11" t="str">
        <f t="shared" ca="1" si="66"/>
        <v>SIN FECHA</v>
      </c>
      <c r="P354" s="6" t="str">
        <f t="shared" si="67"/>
        <v/>
      </c>
      <c r="Q354" s="18"/>
    </row>
    <row r="355" spans="1:17" s="9" customFormat="1" ht="27.6" customHeight="1">
      <c r="A355" s="6"/>
      <c r="B355" s="6"/>
      <c r="C355" s="11"/>
      <c r="D355" s="6"/>
      <c r="E355" s="11"/>
      <c r="F355" s="6"/>
      <c r="G355" s="6"/>
      <c r="H355" s="26"/>
      <c r="I355" s="26"/>
      <c r="J355" s="6"/>
      <c r="K355" s="7"/>
      <c r="L355" s="11"/>
      <c r="M355" s="7" t="str">
        <f t="shared" si="64"/>
        <v/>
      </c>
      <c r="N355" s="13" t="str">
        <f t="shared" ca="1" si="65"/>
        <v/>
      </c>
      <c r="O355" s="11" t="str">
        <f t="shared" ca="1" si="66"/>
        <v>SIN FECHA</v>
      </c>
      <c r="P355" s="6" t="str">
        <f t="shared" si="67"/>
        <v/>
      </c>
      <c r="Q355" s="18"/>
    </row>
    <row r="356" spans="1:17" s="9" customFormat="1" ht="27.6" customHeight="1">
      <c r="A356" s="6"/>
      <c r="B356" s="6"/>
      <c r="C356" s="11"/>
      <c r="D356" s="6"/>
      <c r="E356" s="11"/>
      <c r="F356" s="6"/>
      <c r="G356" s="6"/>
      <c r="H356" s="26"/>
      <c r="I356" s="26"/>
      <c r="J356" s="6"/>
      <c r="K356" s="7"/>
      <c r="L356" s="11"/>
      <c r="M356" s="7" t="str">
        <f t="shared" si="64"/>
        <v/>
      </c>
      <c r="N356" s="13" t="str">
        <f t="shared" ca="1" si="65"/>
        <v/>
      </c>
      <c r="O356" s="11" t="str">
        <f t="shared" ca="1" si="66"/>
        <v>SIN FECHA</v>
      </c>
      <c r="P356" s="6" t="str">
        <f t="shared" si="67"/>
        <v/>
      </c>
      <c r="Q356" s="18"/>
    </row>
    <row r="357" spans="1:17" s="9" customFormat="1" ht="27.6" customHeight="1">
      <c r="A357" s="6"/>
      <c r="B357" s="6"/>
      <c r="C357" s="11"/>
      <c r="D357" s="6"/>
      <c r="E357" s="11"/>
      <c r="F357" s="6"/>
      <c r="G357" s="6"/>
      <c r="H357" s="26"/>
      <c r="I357" s="26"/>
      <c r="J357" s="6"/>
      <c r="K357" s="7"/>
      <c r="L357" s="11"/>
      <c r="M357" s="7" t="str">
        <f t="shared" si="64"/>
        <v/>
      </c>
      <c r="N357" s="13" t="str">
        <f t="shared" ca="1" si="65"/>
        <v/>
      </c>
      <c r="O357" s="11" t="str">
        <f t="shared" ca="1" si="66"/>
        <v>SIN FECHA</v>
      </c>
      <c r="P357" s="6" t="str">
        <f t="shared" si="67"/>
        <v/>
      </c>
      <c r="Q357" s="18"/>
    </row>
    <row r="358" spans="1:17" s="9" customFormat="1" ht="27.6" customHeight="1">
      <c r="A358" s="6"/>
      <c r="B358" s="6"/>
      <c r="C358" s="11"/>
      <c r="D358" s="6"/>
      <c r="E358" s="11"/>
      <c r="F358" s="6"/>
      <c r="G358" s="6"/>
      <c r="H358" s="26"/>
      <c r="I358" s="26"/>
      <c r="J358" s="6"/>
      <c r="K358" s="7"/>
      <c r="L358" s="11"/>
      <c r="M358" s="7" t="str">
        <f t="shared" si="64"/>
        <v/>
      </c>
      <c r="N358" s="13" t="str">
        <f t="shared" ca="1" si="65"/>
        <v/>
      </c>
      <c r="O358" s="11" t="str">
        <f t="shared" ca="1" si="66"/>
        <v>SIN FECHA</v>
      </c>
      <c r="P358" s="6" t="str">
        <f t="shared" si="67"/>
        <v/>
      </c>
      <c r="Q358" s="18"/>
    </row>
    <row r="359" spans="1:17" s="9" customFormat="1" ht="27.6" customHeight="1">
      <c r="A359" s="6"/>
      <c r="B359" s="6"/>
      <c r="C359" s="11"/>
      <c r="D359" s="6"/>
      <c r="E359" s="11"/>
      <c r="F359" s="6"/>
      <c r="G359" s="6"/>
      <c r="H359" s="26"/>
      <c r="I359" s="26"/>
      <c r="J359" s="6"/>
      <c r="K359" s="7"/>
      <c r="L359" s="11"/>
      <c r="M359" s="7" t="str">
        <f t="shared" si="64"/>
        <v/>
      </c>
      <c r="N359" s="13" t="str">
        <f t="shared" ca="1" si="65"/>
        <v/>
      </c>
      <c r="O359" s="11" t="str">
        <f t="shared" ca="1" si="66"/>
        <v>SIN FECHA</v>
      </c>
      <c r="P359" s="6" t="str">
        <f t="shared" si="67"/>
        <v/>
      </c>
      <c r="Q359" s="18"/>
    </row>
    <row r="360" spans="1:17" s="9" customFormat="1" ht="27.6" customHeight="1">
      <c r="A360" s="6"/>
      <c r="B360" s="6"/>
      <c r="C360" s="11"/>
      <c r="D360" s="6"/>
      <c r="E360" s="11"/>
      <c r="F360" s="6"/>
      <c r="G360" s="6"/>
      <c r="H360" s="26"/>
      <c r="I360" s="26"/>
      <c r="J360" s="6"/>
      <c r="K360" s="7"/>
      <c r="L360" s="11"/>
      <c r="M360" s="7" t="str">
        <f t="shared" si="64"/>
        <v/>
      </c>
      <c r="N360" s="13" t="str">
        <f t="shared" ca="1" si="65"/>
        <v/>
      </c>
      <c r="O360" s="11" t="str">
        <f t="shared" ca="1" si="66"/>
        <v>SIN FECHA</v>
      </c>
      <c r="P360" s="6" t="str">
        <f t="shared" si="67"/>
        <v/>
      </c>
      <c r="Q360" s="18"/>
    </row>
    <row r="361" spans="1:17" s="9" customFormat="1" ht="27.6" customHeight="1">
      <c r="A361" s="6"/>
      <c r="B361" s="6"/>
      <c r="C361" s="11"/>
      <c r="D361" s="6"/>
      <c r="E361" s="11"/>
      <c r="F361" s="6"/>
      <c r="G361" s="6"/>
      <c r="H361" s="26"/>
      <c r="I361" s="26"/>
      <c r="J361" s="6"/>
      <c r="K361" s="7"/>
      <c r="L361" s="11"/>
      <c r="M361" s="7" t="str">
        <f t="shared" si="64"/>
        <v/>
      </c>
      <c r="N361" s="13" t="str">
        <f t="shared" ca="1" si="65"/>
        <v/>
      </c>
      <c r="O361" s="11" t="str">
        <f t="shared" ca="1" si="66"/>
        <v>SIN FECHA</v>
      </c>
      <c r="P361" s="6" t="str">
        <f t="shared" si="67"/>
        <v/>
      </c>
      <c r="Q361" s="18"/>
    </row>
    <row r="362" spans="1:17" s="9" customFormat="1" ht="27.6" customHeight="1">
      <c r="A362" s="6"/>
      <c r="B362" s="6"/>
      <c r="C362" s="11"/>
      <c r="D362" s="6"/>
      <c r="E362" s="11"/>
      <c r="F362" s="6"/>
      <c r="G362" s="6"/>
      <c r="H362" s="26"/>
      <c r="I362" s="26"/>
      <c r="J362" s="6"/>
      <c r="K362" s="7"/>
      <c r="L362" s="11"/>
      <c r="M362" s="7" t="str">
        <f t="shared" si="64"/>
        <v/>
      </c>
      <c r="N362" s="13" t="str">
        <f t="shared" ca="1" si="65"/>
        <v/>
      </c>
      <c r="O362" s="11" t="str">
        <f t="shared" ca="1" si="66"/>
        <v>SIN FECHA</v>
      </c>
      <c r="P362" s="6" t="str">
        <f t="shared" si="67"/>
        <v/>
      </c>
      <c r="Q362" s="18"/>
    </row>
    <row r="363" spans="1:17" s="9" customFormat="1" ht="27.6" customHeight="1">
      <c r="A363" s="6"/>
      <c r="B363" s="6"/>
      <c r="C363" s="11"/>
      <c r="D363" s="6"/>
      <c r="E363" s="11"/>
      <c r="F363" s="6"/>
      <c r="G363" s="6"/>
      <c r="H363" s="26"/>
      <c r="I363" s="26"/>
      <c r="J363" s="6"/>
      <c r="K363" s="7"/>
      <c r="L363" s="11"/>
      <c r="M363" s="7" t="str">
        <f t="shared" si="64"/>
        <v/>
      </c>
      <c r="N363" s="13" t="str">
        <f t="shared" ca="1" si="65"/>
        <v/>
      </c>
      <c r="O363" s="11" t="str">
        <f t="shared" ca="1" si="66"/>
        <v>SIN FECHA</v>
      </c>
      <c r="P363" s="6" t="str">
        <f t="shared" si="67"/>
        <v/>
      </c>
      <c r="Q363" s="18"/>
    </row>
    <row r="364" spans="1:17" s="9" customFormat="1" ht="27.6" customHeight="1">
      <c r="A364" s="6"/>
      <c r="B364" s="6"/>
      <c r="C364" s="11"/>
      <c r="D364" s="6"/>
      <c r="E364" s="11"/>
      <c r="F364" s="6"/>
      <c r="G364" s="6"/>
      <c r="H364" s="26"/>
      <c r="I364" s="26"/>
      <c r="J364" s="6"/>
      <c r="K364" s="7"/>
      <c r="L364" s="11"/>
      <c r="M364" s="7" t="str">
        <f t="shared" si="64"/>
        <v/>
      </c>
      <c r="N364" s="13" t="str">
        <f t="shared" ca="1" si="65"/>
        <v/>
      </c>
      <c r="O364" s="11" t="str">
        <f t="shared" ca="1" si="66"/>
        <v>SIN FECHA</v>
      </c>
      <c r="P364" s="6" t="str">
        <f t="shared" si="67"/>
        <v/>
      </c>
      <c r="Q364" s="18"/>
    </row>
    <row r="365" spans="1:17" s="9" customFormat="1" ht="27.6" customHeight="1">
      <c r="A365" s="6"/>
      <c r="B365" s="6"/>
      <c r="C365" s="11"/>
      <c r="D365" s="6"/>
      <c r="E365" s="11"/>
      <c r="F365" s="6"/>
      <c r="G365" s="6"/>
      <c r="H365" s="26"/>
      <c r="I365" s="26"/>
      <c r="J365" s="6"/>
      <c r="K365" s="7"/>
      <c r="L365" s="11"/>
      <c r="M365" s="7" t="str">
        <f t="shared" si="64"/>
        <v/>
      </c>
      <c r="N365" s="13" t="str">
        <f t="shared" ca="1" si="65"/>
        <v/>
      </c>
      <c r="O365" s="11" t="str">
        <f t="shared" ca="1" si="66"/>
        <v>SIN FECHA</v>
      </c>
      <c r="P365" s="6" t="str">
        <f t="shared" si="67"/>
        <v/>
      </c>
      <c r="Q365" s="18"/>
    </row>
    <row r="366" spans="1:17" s="9" customFormat="1" ht="27.6" customHeight="1">
      <c r="A366" s="6"/>
      <c r="B366" s="6"/>
      <c r="C366" s="11"/>
      <c r="D366" s="6"/>
      <c r="E366" s="11"/>
      <c r="F366" s="6"/>
      <c r="G366" s="6"/>
      <c r="H366" s="26"/>
      <c r="I366" s="26"/>
      <c r="J366" s="6"/>
      <c r="K366" s="7"/>
      <c r="L366" s="11"/>
      <c r="M366" s="7" t="str">
        <f t="shared" si="64"/>
        <v/>
      </c>
      <c r="N366" s="13" t="str">
        <f t="shared" ca="1" si="65"/>
        <v/>
      </c>
      <c r="O366" s="11" t="str">
        <f t="shared" ca="1" si="66"/>
        <v>SIN FECHA</v>
      </c>
      <c r="P366" s="6" t="str">
        <f t="shared" si="67"/>
        <v/>
      </c>
      <c r="Q366" s="18"/>
    </row>
    <row r="367" spans="1:17" s="9" customFormat="1" ht="27.6" customHeight="1">
      <c r="A367" s="6"/>
      <c r="B367" s="6"/>
      <c r="C367" s="11"/>
      <c r="D367" s="6"/>
      <c r="E367" s="11"/>
      <c r="F367" s="6"/>
      <c r="G367" s="6"/>
      <c r="H367" s="26"/>
      <c r="I367" s="26"/>
      <c r="J367" s="6"/>
      <c r="K367" s="7"/>
      <c r="L367" s="11"/>
      <c r="M367" s="7" t="str">
        <f t="shared" si="64"/>
        <v/>
      </c>
      <c r="N367" s="13" t="str">
        <f t="shared" ca="1" si="65"/>
        <v/>
      </c>
      <c r="O367" s="11" t="str">
        <f t="shared" ca="1" si="66"/>
        <v>SIN FECHA</v>
      </c>
      <c r="P367" s="6" t="str">
        <f t="shared" si="67"/>
        <v/>
      </c>
      <c r="Q367" s="18"/>
    </row>
    <row r="368" spans="1:17" s="9" customFormat="1" ht="27.6" customHeight="1">
      <c r="A368" s="6"/>
      <c r="B368" s="6"/>
      <c r="C368" s="11"/>
      <c r="D368" s="6"/>
      <c r="E368" s="11"/>
      <c r="F368" s="6"/>
      <c r="G368" s="6"/>
      <c r="H368" s="26"/>
      <c r="I368" s="26"/>
      <c r="J368" s="6"/>
      <c r="K368" s="7"/>
      <c r="L368" s="11"/>
      <c r="M368" s="7" t="str">
        <f t="shared" si="64"/>
        <v/>
      </c>
      <c r="N368" s="13" t="str">
        <f t="shared" ca="1" si="65"/>
        <v/>
      </c>
      <c r="O368" s="11" t="str">
        <f t="shared" ca="1" si="66"/>
        <v>SIN FECHA</v>
      </c>
      <c r="P368" s="6" t="str">
        <f t="shared" si="67"/>
        <v/>
      </c>
      <c r="Q368" s="18"/>
    </row>
    <row r="369" spans="1:17" s="9" customFormat="1" ht="27.6" customHeight="1">
      <c r="A369" s="6"/>
      <c r="B369" s="6"/>
      <c r="C369" s="11"/>
      <c r="D369" s="6"/>
      <c r="E369" s="11"/>
      <c r="F369" s="6"/>
      <c r="G369" s="6"/>
      <c r="H369" s="26"/>
      <c r="I369" s="26"/>
      <c r="J369" s="6"/>
      <c r="K369" s="7"/>
      <c r="L369" s="11"/>
      <c r="M369" s="7" t="str">
        <f t="shared" si="64"/>
        <v/>
      </c>
      <c r="N369" s="13" t="str">
        <f t="shared" ca="1" si="65"/>
        <v/>
      </c>
      <c r="O369" s="11" t="str">
        <f t="shared" ca="1" si="66"/>
        <v>SIN FECHA</v>
      </c>
      <c r="P369" s="6" t="str">
        <f t="shared" si="67"/>
        <v/>
      </c>
      <c r="Q369" s="18"/>
    </row>
    <row r="370" spans="1:17" s="9" customFormat="1" ht="27.6" customHeight="1">
      <c r="A370" s="6"/>
      <c r="B370" s="6"/>
      <c r="C370" s="11"/>
      <c r="D370" s="6"/>
      <c r="E370" s="11"/>
      <c r="F370" s="6"/>
      <c r="G370" s="6"/>
      <c r="H370" s="26"/>
      <c r="I370" s="26"/>
      <c r="J370" s="6"/>
      <c r="K370" s="7"/>
      <c r="L370" s="11"/>
      <c r="M370" s="7" t="str">
        <f t="shared" si="64"/>
        <v/>
      </c>
      <c r="N370" s="13" t="str">
        <f t="shared" ca="1" si="65"/>
        <v/>
      </c>
      <c r="O370" s="11" t="str">
        <f t="shared" ca="1" si="66"/>
        <v>SIN FECHA</v>
      </c>
      <c r="P370" s="6" t="str">
        <f t="shared" si="67"/>
        <v/>
      </c>
      <c r="Q370" s="18"/>
    </row>
    <row r="371" spans="1:17" s="9" customFormat="1" ht="27.6" customHeight="1">
      <c r="A371" s="6"/>
      <c r="B371" s="6"/>
      <c r="C371" s="11"/>
      <c r="D371" s="6"/>
      <c r="E371" s="11"/>
      <c r="F371" s="6"/>
      <c r="G371" s="6"/>
      <c r="H371" s="26"/>
      <c r="I371" s="26"/>
      <c r="J371" s="6"/>
      <c r="K371" s="7"/>
      <c r="L371" s="11"/>
      <c r="M371" s="7" t="str">
        <f t="shared" si="64"/>
        <v/>
      </c>
      <c r="N371" s="13" t="str">
        <f t="shared" ca="1" si="65"/>
        <v/>
      </c>
      <c r="O371" s="11" t="str">
        <f t="shared" ca="1" si="66"/>
        <v>SIN FECHA</v>
      </c>
      <c r="P371" s="6" t="str">
        <f t="shared" si="67"/>
        <v/>
      </c>
      <c r="Q371" s="18"/>
    </row>
    <row r="372" spans="1:17" s="9" customFormat="1" ht="27.6" customHeight="1">
      <c r="A372" s="6"/>
      <c r="B372" s="6"/>
      <c r="C372" s="11"/>
      <c r="D372" s="6"/>
      <c r="E372" s="11"/>
      <c r="F372" s="6"/>
      <c r="G372" s="6"/>
      <c r="H372" s="26"/>
      <c r="I372" s="26"/>
      <c r="J372" s="6"/>
      <c r="K372" s="7"/>
      <c r="L372" s="11"/>
      <c r="M372" s="7" t="str">
        <f t="shared" si="64"/>
        <v/>
      </c>
      <c r="N372" s="13" t="str">
        <f t="shared" ca="1" si="65"/>
        <v/>
      </c>
      <c r="O372" s="11" t="str">
        <f t="shared" ca="1" si="66"/>
        <v>SIN FECHA</v>
      </c>
      <c r="P372" s="6" t="str">
        <f t="shared" si="67"/>
        <v/>
      </c>
      <c r="Q372" s="18"/>
    </row>
    <row r="373" spans="1:17" s="9" customFormat="1" ht="27.6" customHeight="1">
      <c r="A373" s="6"/>
      <c r="B373" s="6"/>
      <c r="C373" s="11"/>
      <c r="D373" s="6"/>
      <c r="E373" s="11"/>
      <c r="F373" s="6"/>
      <c r="G373" s="6"/>
      <c r="H373" s="26"/>
      <c r="I373" s="26"/>
      <c r="J373" s="6"/>
      <c r="K373" s="7"/>
      <c r="L373" s="11"/>
      <c r="M373" s="7" t="str">
        <f t="shared" si="64"/>
        <v/>
      </c>
      <c r="N373" s="13" t="str">
        <f t="shared" ca="1" si="65"/>
        <v/>
      </c>
      <c r="O373" s="11" t="str">
        <f t="shared" ca="1" si="66"/>
        <v>SIN FECHA</v>
      </c>
      <c r="P373" s="6" t="str">
        <f t="shared" si="67"/>
        <v/>
      </c>
      <c r="Q373" s="18"/>
    </row>
    <row r="374" spans="1:17" s="9" customFormat="1" ht="27.6" customHeight="1">
      <c r="A374" s="6"/>
      <c r="B374" s="6"/>
      <c r="C374" s="11"/>
      <c r="D374" s="6"/>
      <c r="E374" s="11"/>
      <c r="F374" s="6"/>
      <c r="G374" s="6"/>
      <c r="H374" s="26"/>
      <c r="I374" s="26"/>
      <c r="J374" s="6"/>
      <c r="K374" s="7"/>
      <c r="L374" s="11"/>
      <c r="M374" s="7" t="str">
        <f t="shared" si="64"/>
        <v/>
      </c>
      <c r="N374" s="13" t="str">
        <f t="shared" ca="1" si="65"/>
        <v/>
      </c>
      <c r="O374" s="11" t="str">
        <f t="shared" ca="1" si="66"/>
        <v>SIN FECHA</v>
      </c>
      <c r="P374" s="6" t="str">
        <f t="shared" si="67"/>
        <v/>
      </c>
      <c r="Q374" s="18"/>
    </row>
    <row r="375" spans="1:17" s="9" customFormat="1" ht="27.6" customHeight="1">
      <c r="A375" s="6"/>
      <c r="B375" s="6"/>
      <c r="C375" s="11"/>
      <c r="D375" s="6"/>
      <c r="E375" s="11"/>
      <c r="F375" s="6"/>
      <c r="G375" s="6"/>
      <c r="H375" s="26"/>
      <c r="I375" s="26"/>
      <c r="J375" s="6"/>
      <c r="K375" s="7"/>
      <c r="L375" s="11"/>
      <c r="M375" s="7" t="str">
        <f t="shared" si="64"/>
        <v/>
      </c>
      <c r="N375" s="13" t="str">
        <f t="shared" ca="1" si="65"/>
        <v/>
      </c>
      <c r="O375" s="11" t="str">
        <f t="shared" ca="1" si="66"/>
        <v>SIN FECHA</v>
      </c>
      <c r="P375" s="6" t="str">
        <f t="shared" si="67"/>
        <v/>
      </c>
      <c r="Q375" s="18"/>
    </row>
    <row r="376" spans="1:17" s="9" customFormat="1" ht="27.6" customHeight="1">
      <c r="A376" s="6"/>
      <c r="B376" s="6"/>
      <c r="C376" s="11"/>
      <c r="D376" s="6"/>
      <c r="E376" s="11"/>
      <c r="F376" s="6"/>
      <c r="G376" s="6"/>
      <c r="H376" s="26"/>
      <c r="I376" s="26"/>
      <c r="J376" s="6"/>
      <c r="K376" s="7"/>
      <c r="L376" s="11"/>
      <c r="M376" s="7" t="str">
        <f t="shared" si="64"/>
        <v/>
      </c>
      <c r="N376" s="13" t="str">
        <f t="shared" ca="1" si="65"/>
        <v/>
      </c>
      <c r="O376" s="11" t="str">
        <f t="shared" ca="1" si="66"/>
        <v>SIN FECHA</v>
      </c>
      <c r="P376" s="6" t="str">
        <f t="shared" si="67"/>
        <v/>
      </c>
      <c r="Q376" s="18"/>
    </row>
    <row r="377" spans="1:17" s="9" customFormat="1" ht="27.6" customHeight="1">
      <c r="A377" s="6"/>
      <c r="B377" s="6"/>
      <c r="C377" s="11"/>
      <c r="D377" s="6"/>
      <c r="E377" s="11"/>
      <c r="F377" s="6"/>
      <c r="G377" s="6"/>
      <c r="H377" s="26"/>
      <c r="I377" s="26"/>
      <c r="J377" s="6"/>
      <c r="K377" s="7"/>
      <c r="L377" s="11"/>
      <c r="M377" s="7" t="str">
        <f t="shared" si="64"/>
        <v/>
      </c>
      <c r="N377" s="13" t="str">
        <f t="shared" ca="1" si="65"/>
        <v/>
      </c>
      <c r="O377" s="11" t="str">
        <f t="shared" ca="1" si="66"/>
        <v>SIN FECHA</v>
      </c>
      <c r="P377" s="6" t="str">
        <f t="shared" si="67"/>
        <v/>
      </c>
      <c r="Q377" s="18"/>
    </row>
    <row r="378" spans="1:17" s="9" customFormat="1" ht="27.6" customHeight="1">
      <c r="A378" s="6"/>
      <c r="B378" s="6"/>
      <c r="C378" s="11"/>
      <c r="D378" s="6"/>
      <c r="E378" s="11"/>
      <c r="F378" s="6"/>
      <c r="G378" s="6"/>
      <c r="H378" s="26"/>
      <c r="I378" s="26"/>
      <c r="J378" s="6"/>
      <c r="K378" s="7"/>
      <c r="L378" s="11"/>
      <c r="M378" s="7" t="str">
        <f t="shared" si="64"/>
        <v/>
      </c>
      <c r="N378" s="13" t="str">
        <f t="shared" ca="1" si="65"/>
        <v/>
      </c>
      <c r="O378" s="11" t="str">
        <f t="shared" ca="1" si="66"/>
        <v>SIN FECHA</v>
      </c>
      <c r="P378" s="6" t="str">
        <f t="shared" si="67"/>
        <v/>
      </c>
      <c r="Q378" s="18"/>
    </row>
    <row r="379" spans="1:17" s="9" customFormat="1" ht="27.6" customHeight="1">
      <c r="A379" s="6"/>
      <c r="B379" s="6"/>
      <c r="C379" s="11"/>
      <c r="D379" s="6"/>
      <c r="E379" s="11"/>
      <c r="F379" s="6"/>
      <c r="G379" s="6"/>
      <c r="H379" s="26"/>
      <c r="I379" s="26"/>
      <c r="J379" s="6"/>
      <c r="K379" s="7"/>
      <c r="L379" s="11"/>
      <c r="M379" s="7" t="str">
        <f t="shared" si="64"/>
        <v/>
      </c>
      <c r="N379" s="13" t="str">
        <f t="shared" ca="1" si="65"/>
        <v/>
      </c>
      <c r="O379" s="11" t="str">
        <f t="shared" ca="1" si="66"/>
        <v>SIN FECHA</v>
      </c>
      <c r="P379" s="6" t="str">
        <f t="shared" si="67"/>
        <v/>
      </c>
      <c r="Q379" s="18"/>
    </row>
    <row r="380" spans="1:17" s="9" customFormat="1" ht="27.6" customHeight="1">
      <c r="A380" s="6"/>
      <c r="B380" s="6"/>
      <c r="C380" s="11"/>
      <c r="D380" s="6"/>
      <c r="E380" s="11"/>
      <c r="F380" s="6"/>
      <c r="G380" s="6"/>
      <c r="H380" s="26"/>
      <c r="I380" s="26"/>
      <c r="J380" s="6"/>
      <c r="K380" s="7"/>
      <c r="L380" s="11"/>
      <c r="M380" s="7" t="str">
        <f t="shared" ref="M380:M398" si="68">IF(OR(K380="",L380=""),"",DATE(YEAR(K380)+L380,MONTH(K380),DAY(K380))-1)</f>
        <v/>
      </c>
      <c r="N380" s="13" t="str">
        <f t="shared" ref="N380:N398" ca="1" si="69">IF(M380="","",M380-TODAY())</f>
        <v/>
      </c>
      <c r="O380" s="11" t="str">
        <f t="shared" ref="O380:O398" ca="1" si="70">IF(M380="","SIN FECHA",IF(M380&lt;TODAY(),"VENCIDO",IF(M380-TODAY()&lt;=30,"POR VENCER","VIGENTE")))</f>
        <v>SIN FECHA</v>
      </c>
      <c r="P380" s="6" t="str">
        <f t="shared" ref="P380:P398" si="71">UPPER(TRIM(E380&amp;" "&amp;D380&amp;" "&amp;G380&amp;" "&amp;H380&amp;" "&amp;I380&amp;" "&amp;B380&amp;" "&amp;J380))</f>
        <v/>
      </c>
      <c r="Q380" s="18"/>
    </row>
    <row r="381" spans="1:17" s="9" customFormat="1" ht="27.6" customHeight="1">
      <c r="A381" s="6"/>
      <c r="B381" s="6"/>
      <c r="C381" s="11"/>
      <c r="D381" s="6"/>
      <c r="E381" s="11"/>
      <c r="F381" s="6"/>
      <c r="G381" s="6"/>
      <c r="H381" s="26"/>
      <c r="I381" s="26"/>
      <c r="J381" s="6"/>
      <c r="K381" s="7"/>
      <c r="L381" s="11"/>
      <c r="M381" s="7" t="str">
        <f t="shared" si="68"/>
        <v/>
      </c>
      <c r="N381" s="13" t="str">
        <f t="shared" ca="1" si="69"/>
        <v/>
      </c>
      <c r="O381" s="11" t="str">
        <f t="shared" ca="1" si="70"/>
        <v>SIN FECHA</v>
      </c>
      <c r="P381" s="6" t="str">
        <f t="shared" si="71"/>
        <v/>
      </c>
      <c r="Q381" s="18"/>
    </row>
    <row r="382" spans="1:17" s="9" customFormat="1" ht="27.6" customHeight="1">
      <c r="A382" s="6"/>
      <c r="B382" s="6"/>
      <c r="C382" s="11"/>
      <c r="D382" s="6"/>
      <c r="E382" s="11"/>
      <c r="F382" s="6"/>
      <c r="G382" s="6"/>
      <c r="H382" s="26"/>
      <c r="I382" s="26"/>
      <c r="J382" s="6"/>
      <c r="K382" s="7"/>
      <c r="L382" s="11"/>
      <c r="M382" s="7" t="str">
        <f t="shared" si="68"/>
        <v/>
      </c>
      <c r="N382" s="13" t="str">
        <f t="shared" ca="1" si="69"/>
        <v/>
      </c>
      <c r="O382" s="11" t="str">
        <f t="shared" ca="1" si="70"/>
        <v>SIN FECHA</v>
      </c>
      <c r="P382" s="6" t="str">
        <f t="shared" si="71"/>
        <v/>
      </c>
      <c r="Q382" s="18"/>
    </row>
    <row r="383" spans="1:17" s="9" customFormat="1" ht="27.6" customHeight="1">
      <c r="A383" s="6"/>
      <c r="B383" s="6"/>
      <c r="C383" s="11"/>
      <c r="D383" s="6"/>
      <c r="E383" s="11"/>
      <c r="F383" s="6"/>
      <c r="G383" s="6"/>
      <c r="H383" s="26"/>
      <c r="I383" s="26"/>
      <c r="J383" s="6"/>
      <c r="K383" s="7"/>
      <c r="L383" s="11"/>
      <c r="M383" s="7" t="str">
        <f t="shared" si="68"/>
        <v/>
      </c>
      <c r="N383" s="13" t="str">
        <f t="shared" ca="1" si="69"/>
        <v/>
      </c>
      <c r="O383" s="11" t="str">
        <f t="shared" ca="1" si="70"/>
        <v>SIN FECHA</v>
      </c>
      <c r="P383" s="6" t="str">
        <f t="shared" si="71"/>
        <v/>
      </c>
      <c r="Q383" s="18"/>
    </row>
    <row r="384" spans="1:17" s="9" customFormat="1" ht="27.6" customHeight="1">
      <c r="A384" s="6"/>
      <c r="B384" s="6"/>
      <c r="C384" s="11"/>
      <c r="D384" s="6"/>
      <c r="E384" s="11"/>
      <c r="F384" s="6"/>
      <c r="G384" s="6"/>
      <c r="H384" s="26"/>
      <c r="I384" s="26"/>
      <c r="J384" s="6"/>
      <c r="K384" s="7"/>
      <c r="L384" s="11"/>
      <c r="M384" s="7" t="str">
        <f t="shared" si="68"/>
        <v/>
      </c>
      <c r="N384" s="13" t="str">
        <f t="shared" ca="1" si="69"/>
        <v/>
      </c>
      <c r="O384" s="11" t="str">
        <f t="shared" ca="1" si="70"/>
        <v>SIN FECHA</v>
      </c>
      <c r="P384" s="6" t="str">
        <f t="shared" si="71"/>
        <v/>
      </c>
      <c r="Q384" s="18"/>
    </row>
    <row r="385" spans="1:17" s="9" customFormat="1" ht="27.6" customHeight="1">
      <c r="A385" s="6"/>
      <c r="B385" s="6"/>
      <c r="C385" s="11"/>
      <c r="D385" s="6"/>
      <c r="E385" s="11"/>
      <c r="F385" s="6"/>
      <c r="G385" s="6"/>
      <c r="H385" s="26"/>
      <c r="I385" s="26"/>
      <c r="J385" s="6"/>
      <c r="K385" s="7"/>
      <c r="L385" s="11"/>
      <c r="M385" s="7" t="str">
        <f t="shared" si="68"/>
        <v/>
      </c>
      <c r="N385" s="13" t="str">
        <f t="shared" ca="1" si="69"/>
        <v/>
      </c>
      <c r="O385" s="11" t="str">
        <f t="shared" ca="1" si="70"/>
        <v>SIN FECHA</v>
      </c>
      <c r="P385" s="6" t="str">
        <f t="shared" si="71"/>
        <v/>
      </c>
      <c r="Q385" s="18"/>
    </row>
    <row r="386" spans="1:17" s="9" customFormat="1" ht="27.6" customHeight="1">
      <c r="A386" s="6"/>
      <c r="B386" s="6"/>
      <c r="C386" s="11"/>
      <c r="D386" s="6"/>
      <c r="E386" s="11"/>
      <c r="F386" s="6"/>
      <c r="G386" s="6"/>
      <c r="H386" s="26"/>
      <c r="I386" s="26"/>
      <c r="J386" s="6"/>
      <c r="K386" s="7"/>
      <c r="L386" s="11"/>
      <c r="M386" s="7" t="str">
        <f t="shared" si="68"/>
        <v/>
      </c>
      <c r="N386" s="13" t="str">
        <f t="shared" ca="1" si="69"/>
        <v/>
      </c>
      <c r="O386" s="11" t="str">
        <f t="shared" ca="1" si="70"/>
        <v>SIN FECHA</v>
      </c>
      <c r="P386" s="6" t="str">
        <f t="shared" si="71"/>
        <v/>
      </c>
      <c r="Q386" s="18"/>
    </row>
    <row r="387" spans="1:17" s="9" customFormat="1" ht="27.6" customHeight="1">
      <c r="A387" s="6"/>
      <c r="B387" s="6"/>
      <c r="C387" s="11"/>
      <c r="D387" s="6"/>
      <c r="E387" s="11"/>
      <c r="F387" s="6"/>
      <c r="G387" s="6"/>
      <c r="H387" s="26"/>
      <c r="I387" s="26"/>
      <c r="J387" s="6"/>
      <c r="K387" s="7"/>
      <c r="L387" s="11"/>
      <c r="M387" s="7" t="str">
        <f t="shared" si="68"/>
        <v/>
      </c>
      <c r="N387" s="13" t="str">
        <f t="shared" ca="1" si="69"/>
        <v/>
      </c>
      <c r="O387" s="11" t="str">
        <f t="shared" ca="1" si="70"/>
        <v>SIN FECHA</v>
      </c>
      <c r="P387" s="6" t="str">
        <f t="shared" si="71"/>
        <v/>
      </c>
      <c r="Q387" s="18"/>
    </row>
    <row r="388" spans="1:17" s="9" customFormat="1" ht="27.6" customHeight="1">
      <c r="A388" s="6"/>
      <c r="B388" s="6"/>
      <c r="C388" s="11"/>
      <c r="D388" s="6"/>
      <c r="E388" s="11"/>
      <c r="F388" s="6"/>
      <c r="G388" s="6"/>
      <c r="H388" s="26"/>
      <c r="I388" s="26"/>
      <c r="J388" s="6"/>
      <c r="K388" s="7"/>
      <c r="L388" s="11"/>
      <c r="M388" s="7" t="str">
        <f t="shared" si="68"/>
        <v/>
      </c>
      <c r="N388" s="13" t="str">
        <f t="shared" ca="1" si="69"/>
        <v/>
      </c>
      <c r="O388" s="11" t="str">
        <f t="shared" ca="1" si="70"/>
        <v>SIN FECHA</v>
      </c>
      <c r="P388" s="6" t="str">
        <f t="shared" si="71"/>
        <v/>
      </c>
      <c r="Q388" s="18"/>
    </row>
    <row r="389" spans="1:17" s="9" customFormat="1" ht="27.6" customHeight="1">
      <c r="A389" s="6"/>
      <c r="B389" s="6"/>
      <c r="C389" s="11"/>
      <c r="D389" s="6"/>
      <c r="E389" s="11"/>
      <c r="F389" s="6"/>
      <c r="G389" s="6"/>
      <c r="H389" s="26"/>
      <c r="I389" s="26"/>
      <c r="J389" s="6"/>
      <c r="K389" s="7"/>
      <c r="L389" s="11"/>
      <c r="M389" s="7" t="str">
        <f t="shared" si="68"/>
        <v/>
      </c>
      <c r="N389" s="13" t="str">
        <f t="shared" ca="1" si="69"/>
        <v/>
      </c>
      <c r="O389" s="11" t="str">
        <f t="shared" ca="1" si="70"/>
        <v>SIN FECHA</v>
      </c>
      <c r="P389" s="6" t="str">
        <f t="shared" si="71"/>
        <v/>
      </c>
      <c r="Q389" s="18"/>
    </row>
    <row r="390" spans="1:17" s="9" customFormat="1" ht="27.6" customHeight="1">
      <c r="A390" s="6"/>
      <c r="B390" s="6"/>
      <c r="C390" s="11"/>
      <c r="D390" s="6"/>
      <c r="E390" s="11"/>
      <c r="F390" s="6"/>
      <c r="G390" s="6"/>
      <c r="H390" s="26"/>
      <c r="I390" s="26"/>
      <c r="J390" s="6"/>
      <c r="K390" s="7"/>
      <c r="L390" s="11"/>
      <c r="M390" s="7" t="str">
        <f t="shared" si="68"/>
        <v/>
      </c>
      <c r="N390" s="13" t="str">
        <f t="shared" ca="1" si="69"/>
        <v/>
      </c>
      <c r="O390" s="11" t="str">
        <f t="shared" ca="1" si="70"/>
        <v>SIN FECHA</v>
      </c>
      <c r="P390" s="6" t="str">
        <f t="shared" si="71"/>
        <v/>
      </c>
      <c r="Q390" s="18"/>
    </row>
    <row r="391" spans="1:17" s="9" customFormat="1" ht="27.6" customHeight="1">
      <c r="A391" s="6"/>
      <c r="B391" s="6"/>
      <c r="C391" s="11"/>
      <c r="D391" s="6"/>
      <c r="E391" s="11"/>
      <c r="F391" s="6"/>
      <c r="G391" s="6"/>
      <c r="H391" s="26"/>
      <c r="I391" s="26"/>
      <c r="J391" s="6"/>
      <c r="K391" s="7"/>
      <c r="L391" s="11"/>
      <c r="M391" s="7" t="str">
        <f t="shared" si="68"/>
        <v/>
      </c>
      <c r="N391" s="13" t="str">
        <f t="shared" ca="1" si="69"/>
        <v/>
      </c>
      <c r="O391" s="11" t="str">
        <f t="shared" ca="1" si="70"/>
        <v>SIN FECHA</v>
      </c>
      <c r="P391" s="6" t="str">
        <f t="shared" si="71"/>
        <v/>
      </c>
      <c r="Q391" s="18"/>
    </row>
    <row r="392" spans="1:17" s="9" customFormat="1" ht="27.6" customHeight="1">
      <c r="A392" s="6"/>
      <c r="B392" s="6"/>
      <c r="C392" s="11"/>
      <c r="D392" s="6"/>
      <c r="E392" s="11"/>
      <c r="F392" s="6"/>
      <c r="G392" s="6"/>
      <c r="H392" s="26"/>
      <c r="I392" s="26"/>
      <c r="J392" s="6"/>
      <c r="K392" s="7"/>
      <c r="L392" s="11"/>
      <c r="M392" s="7" t="str">
        <f t="shared" si="68"/>
        <v/>
      </c>
      <c r="N392" s="13" t="str">
        <f t="shared" ca="1" si="69"/>
        <v/>
      </c>
      <c r="O392" s="11" t="str">
        <f t="shared" ca="1" si="70"/>
        <v>SIN FECHA</v>
      </c>
      <c r="P392" s="6" t="str">
        <f t="shared" si="71"/>
        <v/>
      </c>
      <c r="Q392" s="18"/>
    </row>
    <row r="393" spans="1:17" s="9" customFormat="1" ht="27.6" customHeight="1">
      <c r="A393" s="6"/>
      <c r="B393" s="6"/>
      <c r="C393" s="11"/>
      <c r="D393" s="6"/>
      <c r="E393" s="11"/>
      <c r="F393" s="6"/>
      <c r="G393" s="6"/>
      <c r="H393" s="26"/>
      <c r="I393" s="26"/>
      <c r="J393" s="6"/>
      <c r="K393" s="7"/>
      <c r="L393" s="11"/>
      <c r="M393" s="7" t="str">
        <f t="shared" si="68"/>
        <v/>
      </c>
      <c r="N393" s="13" t="str">
        <f t="shared" ca="1" si="69"/>
        <v/>
      </c>
      <c r="O393" s="11" t="str">
        <f t="shared" ca="1" si="70"/>
        <v>SIN FECHA</v>
      </c>
      <c r="P393" s="6" t="str">
        <f t="shared" si="71"/>
        <v/>
      </c>
      <c r="Q393" s="18"/>
    </row>
    <row r="394" spans="1:17" s="9" customFormat="1" ht="27.6" customHeight="1">
      <c r="A394" s="6"/>
      <c r="B394" s="6"/>
      <c r="C394" s="11"/>
      <c r="D394" s="6"/>
      <c r="E394" s="11"/>
      <c r="F394" s="6"/>
      <c r="G394" s="6"/>
      <c r="H394" s="26"/>
      <c r="I394" s="26"/>
      <c r="J394" s="6"/>
      <c r="K394" s="7"/>
      <c r="L394" s="11"/>
      <c r="M394" s="7" t="str">
        <f t="shared" si="68"/>
        <v/>
      </c>
      <c r="N394" s="13" t="str">
        <f t="shared" ca="1" si="69"/>
        <v/>
      </c>
      <c r="O394" s="11" t="str">
        <f t="shared" ca="1" si="70"/>
        <v>SIN FECHA</v>
      </c>
      <c r="P394" s="6" t="str">
        <f t="shared" si="71"/>
        <v/>
      </c>
      <c r="Q394" s="18"/>
    </row>
    <row r="395" spans="1:17" s="9" customFormat="1" ht="27.6" customHeight="1">
      <c r="A395" s="6"/>
      <c r="B395" s="6"/>
      <c r="C395" s="11"/>
      <c r="D395" s="6"/>
      <c r="E395" s="11"/>
      <c r="F395" s="6"/>
      <c r="G395" s="6"/>
      <c r="H395" s="26"/>
      <c r="I395" s="26"/>
      <c r="J395" s="6"/>
      <c r="K395" s="7"/>
      <c r="L395" s="11"/>
      <c r="M395" s="7" t="str">
        <f t="shared" si="68"/>
        <v/>
      </c>
      <c r="N395" s="13" t="str">
        <f t="shared" ca="1" si="69"/>
        <v/>
      </c>
      <c r="O395" s="11" t="str">
        <f t="shared" ca="1" si="70"/>
        <v>SIN FECHA</v>
      </c>
      <c r="P395" s="6" t="str">
        <f t="shared" si="71"/>
        <v/>
      </c>
      <c r="Q395" s="18"/>
    </row>
    <row r="396" spans="1:17" s="9" customFormat="1" ht="27.6" customHeight="1">
      <c r="A396" s="6"/>
      <c r="B396" s="6"/>
      <c r="C396" s="11"/>
      <c r="D396" s="6"/>
      <c r="E396" s="11"/>
      <c r="F396" s="6"/>
      <c r="G396" s="6"/>
      <c r="H396" s="26"/>
      <c r="I396" s="26"/>
      <c r="J396" s="6"/>
      <c r="K396" s="7"/>
      <c r="L396" s="11"/>
      <c r="M396" s="7" t="str">
        <f t="shared" si="68"/>
        <v/>
      </c>
      <c r="N396" s="13" t="str">
        <f t="shared" ca="1" si="69"/>
        <v/>
      </c>
      <c r="O396" s="11" t="str">
        <f t="shared" ca="1" si="70"/>
        <v>SIN FECHA</v>
      </c>
      <c r="P396" s="6" t="str">
        <f t="shared" si="71"/>
        <v/>
      </c>
      <c r="Q396" s="18"/>
    </row>
    <row r="397" spans="1:17" s="9" customFormat="1" ht="27.6" customHeight="1">
      <c r="A397" s="6"/>
      <c r="B397" s="6"/>
      <c r="C397" s="11"/>
      <c r="D397" s="6"/>
      <c r="E397" s="11"/>
      <c r="F397" s="6"/>
      <c r="G397" s="6"/>
      <c r="H397" s="26"/>
      <c r="I397" s="26"/>
      <c r="J397" s="6"/>
      <c r="K397" s="7"/>
      <c r="L397" s="11"/>
      <c r="M397" s="7" t="str">
        <f t="shared" si="68"/>
        <v/>
      </c>
      <c r="N397" s="13" t="str">
        <f t="shared" ca="1" si="69"/>
        <v/>
      </c>
      <c r="O397" s="11" t="str">
        <f t="shared" ca="1" si="70"/>
        <v>SIN FECHA</v>
      </c>
      <c r="P397" s="6" t="str">
        <f t="shared" si="71"/>
        <v/>
      </c>
      <c r="Q397" s="18"/>
    </row>
    <row r="398" spans="1:17" s="9" customFormat="1" ht="27.6" customHeight="1">
      <c r="A398" s="6"/>
      <c r="B398" s="6"/>
      <c r="C398" s="11"/>
      <c r="D398" s="6"/>
      <c r="E398" s="11"/>
      <c r="F398" s="6"/>
      <c r="G398" s="6"/>
      <c r="H398" s="26"/>
      <c r="I398" s="26"/>
      <c r="J398" s="6"/>
      <c r="K398" s="7"/>
      <c r="L398" s="11"/>
      <c r="M398" s="7" t="str">
        <f t="shared" si="68"/>
        <v/>
      </c>
      <c r="N398" s="13" t="str">
        <f t="shared" ca="1" si="69"/>
        <v/>
      </c>
      <c r="O398" s="11" t="str">
        <f t="shared" ca="1" si="70"/>
        <v>SIN FECHA</v>
      </c>
      <c r="P398" s="6" t="str">
        <f t="shared" si="71"/>
        <v/>
      </c>
      <c r="Q398" s="18"/>
    </row>
    <row r="399" spans="1:17">
      <c r="A399" s="6"/>
      <c r="B399" s="6"/>
      <c r="C399" s="11"/>
      <c r="D399" s="6"/>
      <c r="E399" s="6"/>
      <c r="F399" s="6"/>
      <c r="G399" s="6"/>
      <c r="H399" s="6"/>
      <c r="I399" s="6"/>
      <c r="J399" s="6"/>
      <c r="K399" s="7"/>
      <c r="L399" s="11"/>
      <c r="M399" s="7"/>
      <c r="N399" s="13"/>
      <c r="O399" s="11"/>
      <c r="P399" s="6"/>
    </row>
  </sheetData>
  <mergeCells count="2">
    <mergeCell ref="A2:P2"/>
    <mergeCell ref="A1:Q1"/>
  </mergeCells>
  <phoneticPr fontId="5" type="noConversion"/>
  <conditionalFormatting sqref="O5:O185 O187 O189 O191 O193:O195 O197:O199 O201 O203:O207 O209:O210 O212 O214 O216:O217 O219:O222 O224:O227 O229:O241 O243:O248 O250:O256 O258:O261 O263:O268 O271 O299:O398 O273:O275">
    <cfRule type="expression" dxfId="149" priority="142">
      <formula>O5="VIGENTE"</formula>
    </cfRule>
    <cfRule type="expression" dxfId="148" priority="143">
      <formula>O5="POR VENCER"</formula>
    </cfRule>
    <cfRule type="expression" dxfId="147" priority="144">
      <formula>O5="VENCIDO"</formula>
    </cfRule>
  </conditionalFormatting>
  <conditionalFormatting sqref="O399">
    <cfRule type="expression" dxfId="146" priority="139">
      <formula>O399="VIGENTE"</formula>
    </cfRule>
    <cfRule type="expression" dxfId="145" priority="140">
      <formula>O399="POR VENCER"</formula>
    </cfRule>
    <cfRule type="expression" dxfId="144" priority="141">
      <formula>O399="VENCIDO"</formula>
    </cfRule>
  </conditionalFormatting>
  <conditionalFormatting sqref="H277:H1048576 H271 H193:H195 H189 H2:H185 H187 H191 H197:H199 H201 H203:H207 H209:H210 H212 H214 H216:H217 H219:H222 H224:H227 H229:H241 H243:H248 H250:H256 H258:H261 H263:H268 H273:H275">
    <cfRule type="duplicateValues" dxfId="143" priority="138"/>
  </conditionalFormatting>
  <conditionalFormatting sqref="E277:E1048576 E271 E193:E195 E189 E22:E185 E2:E20 E187 E191 E197:E199 E201 E203:E207 E209:E210 E212 E214 E216:E217 E219:E222 E224:E227 E229:E241 E243:E248 E250:E256 E258:E261 E263:E268 E273:E275">
    <cfRule type="duplicateValues" dxfId="142" priority="137"/>
  </conditionalFormatting>
  <conditionalFormatting sqref="B277:B1048576 B271 B193:B195 B189 B187 B191 B197:B199 B201 B203:B207 B209:B210 B212 B214 B216:B217 B219:B222 B224:B227 B229:B241 B243:B248 B250:B256 B258:B261 B263:B268 B273:B275 B2:B185">
    <cfRule type="duplicateValues" dxfId="141" priority="136"/>
  </conditionalFormatting>
  <conditionalFormatting sqref="O188">
    <cfRule type="expression" dxfId="140" priority="133">
      <formula>O188="VIGENTE"</formula>
    </cfRule>
    <cfRule type="expression" dxfId="139" priority="134">
      <formula>O188="POR VENCER"</formula>
    </cfRule>
    <cfRule type="expression" dxfId="138" priority="135">
      <formula>O188="VENCIDO"</formula>
    </cfRule>
  </conditionalFormatting>
  <conditionalFormatting sqref="H188">
    <cfRule type="duplicateValues" dxfId="137" priority="132"/>
  </conditionalFormatting>
  <conditionalFormatting sqref="E188">
    <cfRule type="duplicateValues" dxfId="136" priority="131"/>
  </conditionalFormatting>
  <conditionalFormatting sqref="B188">
    <cfRule type="duplicateValues" dxfId="135" priority="130"/>
  </conditionalFormatting>
  <conditionalFormatting sqref="O186">
    <cfRule type="expression" dxfId="134" priority="127">
      <formula>O186="VIGENTE"</formula>
    </cfRule>
    <cfRule type="expression" dxfId="133" priority="128">
      <formula>O186="POR VENCER"</formula>
    </cfRule>
    <cfRule type="expression" dxfId="132" priority="129">
      <formula>O186="VENCIDO"</formula>
    </cfRule>
  </conditionalFormatting>
  <conditionalFormatting sqref="H186">
    <cfRule type="duplicateValues" dxfId="131" priority="126"/>
  </conditionalFormatting>
  <conditionalFormatting sqref="E186">
    <cfRule type="duplicateValues" dxfId="130" priority="125"/>
  </conditionalFormatting>
  <conditionalFormatting sqref="B186">
    <cfRule type="duplicateValues" dxfId="129" priority="124"/>
  </conditionalFormatting>
  <conditionalFormatting sqref="O192">
    <cfRule type="expression" dxfId="128" priority="121">
      <formula>O192="VIGENTE"</formula>
    </cfRule>
    <cfRule type="expression" dxfId="127" priority="122">
      <formula>O192="POR VENCER"</formula>
    </cfRule>
    <cfRule type="expression" dxfId="126" priority="123">
      <formula>O192="VENCIDO"</formula>
    </cfRule>
  </conditionalFormatting>
  <conditionalFormatting sqref="H192">
    <cfRule type="duplicateValues" dxfId="125" priority="120"/>
  </conditionalFormatting>
  <conditionalFormatting sqref="E192">
    <cfRule type="duplicateValues" dxfId="124" priority="119"/>
  </conditionalFormatting>
  <conditionalFormatting sqref="B192">
    <cfRule type="duplicateValues" dxfId="123" priority="118"/>
  </conditionalFormatting>
  <conditionalFormatting sqref="O190">
    <cfRule type="expression" dxfId="122" priority="115">
      <formula>O190="VIGENTE"</formula>
    </cfRule>
    <cfRule type="expression" dxfId="121" priority="116">
      <formula>O190="POR VENCER"</formula>
    </cfRule>
    <cfRule type="expression" dxfId="120" priority="117">
      <formula>O190="VENCIDO"</formula>
    </cfRule>
  </conditionalFormatting>
  <conditionalFormatting sqref="H190">
    <cfRule type="duplicateValues" dxfId="119" priority="114"/>
  </conditionalFormatting>
  <conditionalFormatting sqref="E190">
    <cfRule type="duplicateValues" dxfId="118" priority="113"/>
  </conditionalFormatting>
  <conditionalFormatting sqref="B190">
    <cfRule type="duplicateValues" dxfId="117" priority="112"/>
  </conditionalFormatting>
  <conditionalFormatting sqref="O196">
    <cfRule type="expression" dxfId="116" priority="109">
      <formula>O196="VIGENTE"</formula>
    </cfRule>
    <cfRule type="expression" dxfId="115" priority="110">
      <formula>O196="POR VENCER"</formula>
    </cfRule>
    <cfRule type="expression" dxfId="114" priority="111">
      <formula>O196="VENCIDO"</formula>
    </cfRule>
  </conditionalFormatting>
  <conditionalFormatting sqref="H196">
    <cfRule type="duplicateValues" dxfId="113" priority="108"/>
  </conditionalFormatting>
  <conditionalFormatting sqref="E196">
    <cfRule type="duplicateValues" dxfId="112" priority="107"/>
  </conditionalFormatting>
  <conditionalFormatting sqref="B196">
    <cfRule type="duplicateValues" dxfId="111" priority="106"/>
  </conditionalFormatting>
  <conditionalFormatting sqref="O200">
    <cfRule type="expression" dxfId="110" priority="103">
      <formula>O200="VIGENTE"</formula>
    </cfRule>
    <cfRule type="expression" dxfId="109" priority="104">
      <formula>O200="POR VENCER"</formula>
    </cfRule>
    <cfRule type="expression" dxfId="108" priority="105">
      <formula>O200="VENCIDO"</formula>
    </cfRule>
  </conditionalFormatting>
  <conditionalFormatting sqref="H200">
    <cfRule type="duplicateValues" dxfId="107" priority="102"/>
  </conditionalFormatting>
  <conditionalFormatting sqref="E200">
    <cfRule type="duplicateValues" dxfId="106" priority="101"/>
  </conditionalFormatting>
  <conditionalFormatting sqref="B200">
    <cfRule type="duplicateValues" dxfId="105" priority="100"/>
  </conditionalFormatting>
  <conditionalFormatting sqref="O202">
    <cfRule type="expression" dxfId="104" priority="97">
      <formula>O202="VIGENTE"</formula>
    </cfRule>
    <cfRule type="expression" dxfId="103" priority="98">
      <formula>O202="POR VENCER"</formula>
    </cfRule>
    <cfRule type="expression" dxfId="102" priority="99">
      <formula>O202="VENCIDO"</formula>
    </cfRule>
  </conditionalFormatting>
  <conditionalFormatting sqref="H202">
    <cfRule type="duplicateValues" dxfId="101" priority="96"/>
  </conditionalFormatting>
  <conditionalFormatting sqref="E202">
    <cfRule type="duplicateValues" dxfId="100" priority="95"/>
  </conditionalFormatting>
  <conditionalFormatting sqref="B202">
    <cfRule type="duplicateValues" dxfId="99" priority="94"/>
  </conditionalFormatting>
  <conditionalFormatting sqref="O208">
    <cfRule type="expression" dxfId="98" priority="91">
      <formula>O208="VIGENTE"</formula>
    </cfRule>
    <cfRule type="expression" dxfId="97" priority="92">
      <formula>O208="POR VENCER"</formula>
    </cfRule>
    <cfRule type="expression" dxfId="96" priority="93">
      <formula>O208="VENCIDO"</formula>
    </cfRule>
  </conditionalFormatting>
  <conditionalFormatting sqref="H208">
    <cfRule type="duplicateValues" dxfId="95" priority="90"/>
  </conditionalFormatting>
  <conditionalFormatting sqref="E208">
    <cfRule type="duplicateValues" dxfId="94" priority="89"/>
  </conditionalFormatting>
  <conditionalFormatting sqref="B208">
    <cfRule type="duplicateValues" dxfId="93" priority="88"/>
  </conditionalFormatting>
  <conditionalFormatting sqref="O211">
    <cfRule type="expression" dxfId="92" priority="85">
      <formula>O211="VIGENTE"</formula>
    </cfRule>
    <cfRule type="expression" dxfId="91" priority="86">
      <formula>O211="POR VENCER"</formula>
    </cfRule>
    <cfRule type="expression" dxfId="90" priority="87">
      <formula>O211="VENCIDO"</formula>
    </cfRule>
  </conditionalFormatting>
  <conditionalFormatting sqref="H211">
    <cfRule type="duplicateValues" dxfId="89" priority="84"/>
  </conditionalFormatting>
  <conditionalFormatting sqref="E211">
    <cfRule type="duplicateValues" dxfId="88" priority="83"/>
  </conditionalFormatting>
  <conditionalFormatting sqref="B211">
    <cfRule type="duplicateValues" dxfId="87" priority="82"/>
  </conditionalFormatting>
  <conditionalFormatting sqref="O213">
    <cfRule type="expression" dxfId="86" priority="79">
      <formula>O213="VIGENTE"</formula>
    </cfRule>
    <cfRule type="expression" dxfId="85" priority="80">
      <formula>O213="POR VENCER"</formula>
    </cfRule>
    <cfRule type="expression" dxfId="84" priority="81">
      <formula>O213="VENCIDO"</formula>
    </cfRule>
  </conditionalFormatting>
  <conditionalFormatting sqref="H213">
    <cfRule type="duplicateValues" dxfId="83" priority="78"/>
  </conditionalFormatting>
  <conditionalFormatting sqref="E213">
    <cfRule type="duplicateValues" dxfId="82" priority="77"/>
  </conditionalFormatting>
  <conditionalFormatting sqref="B213">
    <cfRule type="duplicateValues" dxfId="81" priority="76"/>
  </conditionalFormatting>
  <conditionalFormatting sqref="O215">
    <cfRule type="expression" dxfId="80" priority="73">
      <formula>O215="VIGENTE"</formula>
    </cfRule>
    <cfRule type="expression" dxfId="79" priority="74">
      <formula>O215="POR VENCER"</formula>
    </cfRule>
    <cfRule type="expression" dxfId="78" priority="75">
      <formula>O215="VENCIDO"</formula>
    </cfRule>
  </conditionalFormatting>
  <conditionalFormatting sqref="H215">
    <cfRule type="duplicateValues" dxfId="77" priority="72"/>
  </conditionalFormatting>
  <conditionalFormatting sqref="E215">
    <cfRule type="duplicateValues" dxfId="76" priority="71"/>
  </conditionalFormatting>
  <conditionalFormatting sqref="B215">
    <cfRule type="duplicateValues" dxfId="75" priority="70"/>
  </conditionalFormatting>
  <conditionalFormatting sqref="O218">
    <cfRule type="expression" dxfId="74" priority="67">
      <formula>O218="VIGENTE"</formula>
    </cfRule>
    <cfRule type="expression" dxfId="73" priority="68">
      <formula>O218="POR VENCER"</formula>
    </cfRule>
    <cfRule type="expression" dxfId="72" priority="69">
      <formula>O218="VENCIDO"</formula>
    </cfRule>
  </conditionalFormatting>
  <conditionalFormatting sqref="H218">
    <cfRule type="duplicateValues" dxfId="71" priority="66"/>
  </conditionalFormatting>
  <conditionalFormatting sqref="E218">
    <cfRule type="duplicateValues" dxfId="70" priority="65"/>
  </conditionalFormatting>
  <conditionalFormatting sqref="B218">
    <cfRule type="duplicateValues" dxfId="69" priority="64"/>
  </conditionalFormatting>
  <conditionalFormatting sqref="O223">
    <cfRule type="expression" dxfId="68" priority="61">
      <formula>O223="VIGENTE"</formula>
    </cfRule>
    <cfRule type="expression" dxfId="67" priority="62">
      <formula>O223="POR VENCER"</formula>
    </cfRule>
    <cfRule type="expression" dxfId="66" priority="63">
      <formula>O223="VENCIDO"</formula>
    </cfRule>
  </conditionalFormatting>
  <conditionalFormatting sqref="H223">
    <cfRule type="duplicateValues" dxfId="65" priority="60"/>
  </conditionalFormatting>
  <conditionalFormatting sqref="E223">
    <cfRule type="duplicateValues" dxfId="64" priority="59"/>
  </conditionalFormatting>
  <conditionalFormatting sqref="B223">
    <cfRule type="duplicateValues" dxfId="63" priority="58"/>
  </conditionalFormatting>
  <conditionalFormatting sqref="O228">
    <cfRule type="expression" dxfId="62" priority="55">
      <formula>O228="VIGENTE"</formula>
    </cfRule>
    <cfRule type="expression" dxfId="61" priority="56">
      <formula>O228="POR VENCER"</formula>
    </cfRule>
    <cfRule type="expression" dxfId="60" priority="57">
      <formula>O228="VENCIDO"</formula>
    </cfRule>
  </conditionalFormatting>
  <conditionalFormatting sqref="H228">
    <cfRule type="duplicateValues" dxfId="59" priority="54"/>
  </conditionalFormatting>
  <conditionalFormatting sqref="E228">
    <cfRule type="duplicateValues" dxfId="58" priority="53"/>
  </conditionalFormatting>
  <conditionalFormatting sqref="B228">
    <cfRule type="duplicateValues" dxfId="57" priority="52"/>
  </conditionalFormatting>
  <conditionalFormatting sqref="O242">
    <cfRule type="expression" dxfId="56" priority="49">
      <formula>O242="VIGENTE"</formula>
    </cfRule>
    <cfRule type="expression" dxfId="55" priority="50">
      <formula>O242="POR VENCER"</formula>
    </cfRule>
    <cfRule type="expression" dxfId="54" priority="51">
      <formula>O242="VENCIDO"</formula>
    </cfRule>
  </conditionalFormatting>
  <conditionalFormatting sqref="H242">
    <cfRule type="duplicateValues" dxfId="53" priority="48"/>
  </conditionalFormatting>
  <conditionalFormatting sqref="E242">
    <cfRule type="duplicateValues" dxfId="52" priority="47"/>
  </conditionalFormatting>
  <conditionalFormatting sqref="B242">
    <cfRule type="duplicateValues" dxfId="51" priority="46"/>
  </conditionalFormatting>
  <conditionalFormatting sqref="O249">
    <cfRule type="expression" dxfId="50" priority="43">
      <formula>O249="VIGENTE"</formula>
    </cfRule>
    <cfRule type="expression" dxfId="49" priority="44">
      <formula>O249="POR VENCER"</formula>
    </cfRule>
    <cfRule type="expression" dxfId="48" priority="45">
      <formula>O249="VENCIDO"</formula>
    </cfRule>
  </conditionalFormatting>
  <conditionalFormatting sqref="H249">
    <cfRule type="duplicateValues" dxfId="47" priority="42"/>
  </conditionalFormatting>
  <conditionalFormatting sqref="E249">
    <cfRule type="duplicateValues" dxfId="46" priority="41"/>
  </conditionalFormatting>
  <conditionalFormatting sqref="B249">
    <cfRule type="duplicateValues" dxfId="45" priority="40"/>
  </conditionalFormatting>
  <conditionalFormatting sqref="O257">
    <cfRule type="expression" dxfId="44" priority="37">
      <formula>O257="VIGENTE"</formula>
    </cfRule>
    <cfRule type="expression" dxfId="43" priority="38">
      <formula>O257="POR VENCER"</formula>
    </cfRule>
    <cfRule type="expression" dxfId="42" priority="39">
      <formula>O257="VENCIDO"</formula>
    </cfRule>
  </conditionalFormatting>
  <conditionalFormatting sqref="H257">
    <cfRule type="duplicateValues" dxfId="41" priority="36"/>
  </conditionalFormatting>
  <conditionalFormatting sqref="E257">
    <cfRule type="duplicateValues" dxfId="40" priority="35"/>
  </conditionalFormatting>
  <conditionalFormatting sqref="B257">
    <cfRule type="duplicateValues" dxfId="39" priority="34"/>
  </conditionalFormatting>
  <conditionalFormatting sqref="O262">
    <cfRule type="expression" dxfId="38" priority="31">
      <formula>O262="VIGENTE"</formula>
    </cfRule>
    <cfRule type="expression" dxfId="37" priority="32">
      <formula>O262="POR VENCER"</formula>
    </cfRule>
    <cfRule type="expression" dxfId="36" priority="33">
      <formula>O262="VENCIDO"</formula>
    </cfRule>
  </conditionalFormatting>
  <conditionalFormatting sqref="H262">
    <cfRule type="duplicateValues" dxfId="35" priority="30"/>
  </conditionalFormatting>
  <conditionalFormatting sqref="E262">
    <cfRule type="duplicateValues" dxfId="34" priority="29"/>
  </conditionalFormatting>
  <conditionalFormatting sqref="B262">
    <cfRule type="duplicateValues" dxfId="33" priority="28"/>
  </conditionalFormatting>
  <conditionalFormatting sqref="O269">
    <cfRule type="expression" dxfId="32" priority="25">
      <formula>O269="VIGENTE"</formula>
    </cfRule>
    <cfRule type="expression" dxfId="31" priority="26">
      <formula>O269="POR VENCER"</formula>
    </cfRule>
    <cfRule type="expression" dxfId="30" priority="27">
      <formula>O269="VENCIDO"</formula>
    </cfRule>
  </conditionalFormatting>
  <conditionalFormatting sqref="H269">
    <cfRule type="duplicateValues" dxfId="29" priority="24"/>
  </conditionalFormatting>
  <conditionalFormatting sqref="E269">
    <cfRule type="duplicateValues" dxfId="28" priority="23"/>
  </conditionalFormatting>
  <conditionalFormatting sqref="B269">
    <cfRule type="duplicateValues" dxfId="27" priority="22"/>
  </conditionalFormatting>
  <conditionalFormatting sqref="O272">
    <cfRule type="expression" dxfId="26" priority="19">
      <formula>O272="VIGENTE"</formula>
    </cfRule>
    <cfRule type="expression" dxfId="25" priority="20">
      <formula>O272="POR VENCER"</formula>
    </cfRule>
    <cfRule type="expression" dxfId="24" priority="21">
      <formula>O272="VENCIDO"</formula>
    </cfRule>
  </conditionalFormatting>
  <conditionalFormatting sqref="H272">
    <cfRule type="duplicateValues" dxfId="23" priority="18"/>
  </conditionalFormatting>
  <conditionalFormatting sqref="E272">
    <cfRule type="duplicateValues" dxfId="22" priority="17"/>
  </conditionalFormatting>
  <conditionalFormatting sqref="B272">
    <cfRule type="duplicateValues" dxfId="21" priority="16"/>
  </conditionalFormatting>
  <conditionalFormatting sqref="O270">
    <cfRule type="expression" dxfId="20" priority="13">
      <formula>O270="VIGENTE"</formula>
    </cfRule>
    <cfRule type="expression" dxfId="19" priority="14">
      <formula>O270="POR VENCER"</formula>
    </cfRule>
    <cfRule type="expression" dxfId="18" priority="15">
      <formula>O270="VENCIDO"</formula>
    </cfRule>
  </conditionalFormatting>
  <conditionalFormatting sqref="H270">
    <cfRule type="duplicateValues" dxfId="17" priority="12"/>
  </conditionalFormatting>
  <conditionalFormatting sqref="E270">
    <cfRule type="duplicateValues" dxfId="16" priority="11"/>
  </conditionalFormatting>
  <conditionalFormatting sqref="B270">
    <cfRule type="duplicateValues" dxfId="15" priority="10"/>
  </conditionalFormatting>
  <conditionalFormatting sqref="O276:O298">
    <cfRule type="expression" dxfId="14" priority="7">
      <formula>O276="VIGENTE"</formula>
    </cfRule>
    <cfRule type="expression" dxfId="13" priority="8">
      <formula>O276="POR VENCER"</formula>
    </cfRule>
    <cfRule type="expression" dxfId="12" priority="9">
      <formula>O276="VENCIDO"</formula>
    </cfRule>
  </conditionalFormatting>
  <conditionalFormatting sqref="H276">
    <cfRule type="duplicateValues" dxfId="11" priority="6"/>
  </conditionalFormatting>
  <conditionalFormatting sqref="E276">
    <cfRule type="duplicateValues" dxfId="10" priority="5"/>
  </conditionalFormatting>
  <conditionalFormatting sqref="B276">
    <cfRule type="duplicateValues" dxfId="9" priority="4"/>
  </conditionalFormatting>
  <dataValidations count="1">
    <dataValidation allowBlank="1" showErrorMessage="1" sqref="E20" xr:uid="{572F6873-E5A7-4AC0-B19C-D3D6FA969377}"/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000-000000000000}">
          <x14:formula1>
            <xm:f>LISTAS!$A$2:$A$12</xm:f>
          </x14:formula1>
          <xm:sqref>J5:J398</xm:sqref>
        </x14:dataValidation>
        <x14:dataValidation type="list" xr:uid="{00000000-0002-0000-0000-000001000000}">
          <x14:formula1>
            <xm:f>LISTAS!$D$2:$D$4</xm:f>
          </x14:formula1>
          <xm:sqref>L5:L398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7"/>
  <sheetViews>
    <sheetView showGridLines="0" workbookViewId="0">
      <selection activeCell="B4" sqref="B4"/>
    </sheetView>
  </sheetViews>
  <sheetFormatPr baseColWidth="10" defaultColWidth="8.75" defaultRowHeight="14.25"/>
  <cols>
    <col min="1" max="1" width="19.75" customWidth="1"/>
    <col min="2" max="2" width="24.25" bestFit="1" customWidth="1"/>
    <col min="3" max="3" width="10" customWidth="1"/>
    <col min="4" max="4" width="34" customWidth="1"/>
    <col min="5" max="5" width="16" customWidth="1"/>
    <col min="6" max="6" width="38" customWidth="1"/>
    <col min="7" max="7" width="28" customWidth="1"/>
    <col min="8" max="8" width="22.375" customWidth="1"/>
    <col min="9" max="9" width="16" customWidth="1"/>
    <col min="10" max="10" width="24" customWidth="1"/>
    <col min="11" max="15" width="16" customWidth="1"/>
    <col min="16" max="16" width="48" customWidth="1"/>
  </cols>
  <sheetData>
    <row r="1" spans="1:16" ht="18">
      <c r="A1" s="41" t="s">
        <v>22</v>
      </c>
      <c r="B1" s="43"/>
      <c r="C1" s="40"/>
      <c r="D1" s="40"/>
      <c r="E1" s="43"/>
      <c r="F1" s="40"/>
      <c r="G1" s="40"/>
      <c r="H1" s="43"/>
      <c r="I1" s="43"/>
      <c r="J1" s="40"/>
      <c r="K1" s="40"/>
      <c r="L1" s="40"/>
      <c r="M1" s="40"/>
      <c r="N1" s="40"/>
      <c r="O1" s="40"/>
      <c r="P1" s="40"/>
    </row>
    <row r="3" spans="1:16" ht="90">
      <c r="A3" s="8" t="s">
        <v>23</v>
      </c>
      <c r="B3" s="10" t="s">
        <v>1274</v>
      </c>
    </row>
    <row r="5" spans="1:16" ht="30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</row>
    <row r="6" spans="1:16" s="12" customFormat="1" ht="42.75">
      <c r="A6" s="36" t="str" cm="1">
        <f t="array" aca="1" ref="A6:P6" ca="1">_xlfn._xlws.FILTER(BD_CONVENIOS!A5:P398,(BD_CONVENIOS!A5:A398&lt;&gt;"")*IFERROR(ISNUMBER(FIND(UPPER($B$3&amp;""),BD_CONVENIOS!P5:P398)),FALSE),"No se encontraron resultados")</f>
        <v>CONV-2024-001</v>
      </c>
      <c r="B6" s="36" t="str">
        <f ca="1"/>
        <v>0001-2024</v>
      </c>
      <c r="C6" s="36">
        <f ca="1"/>
        <v>2024</v>
      </c>
      <c r="D6" s="36" t="str">
        <f ca="1"/>
        <v>MANTENIMIENTO INDUSTRIAL Y COMERCIAL SAC</v>
      </c>
      <c r="E6" s="36">
        <f ca="1"/>
        <v>20510752938</v>
      </c>
      <c r="F6" s="36" t="str">
        <f ca="1"/>
        <v>PASAJE BAZÁN N.° 185-187, CAJAMARCA</v>
      </c>
      <c r="G6" s="36" t="str">
        <f ca="1"/>
        <v>ELMER VILCHEZ ROMERO</v>
      </c>
      <c r="H6" s="36">
        <f ca="1"/>
        <v>26641673</v>
      </c>
      <c r="I6" s="36">
        <f ca="1"/>
        <v>0</v>
      </c>
      <c r="J6" s="36" t="str">
        <f ca="1"/>
        <v>ELECTRICIDAD</v>
      </c>
      <c r="K6" s="37">
        <f ca="1"/>
        <v>45393</v>
      </c>
      <c r="L6" s="36">
        <f ca="1"/>
        <v>3</v>
      </c>
      <c r="M6" s="37">
        <f ca="1"/>
        <v>46487</v>
      </c>
      <c r="N6" s="38">
        <f ca="1"/>
        <v>268</v>
      </c>
      <c r="O6" s="36" t="str">
        <f ca="1"/>
        <v>VIGENTE</v>
      </c>
      <c r="P6" s="36" t="str">
        <f ca="1"/>
        <v>20510752938 MANTENIMIENTO INDUSTRIAL Y COMERCIAL SAC ELMER VILCHEZ ROMERO 26641673 0001-2024 ELECTRICIDAD</v>
      </c>
    </row>
    <row r="7" spans="1:16">
      <c r="A7" s="3"/>
      <c r="B7" s="3"/>
      <c r="C7" s="3"/>
      <c r="D7" s="3"/>
      <c r="E7" s="3"/>
      <c r="F7" s="3"/>
      <c r="G7" s="3"/>
      <c r="H7" s="3"/>
      <c r="I7" s="3"/>
      <c r="J7" s="3"/>
      <c r="K7" s="4"/>
      <c r="L7" s="3"/>
      <c r="M7" s="4"/>
      <c r="N7" s="5"/>
      <c r="O7" s="3"/>
      <c r="P7" s="3"/>
    </row>
    <row r="8" spans="1:16">
      <c r="A8" s="3"/>
      <c r="B8" s="3"/>
      <c r="C8" s="3"/>
      <c r="D8" s="3"/>
      <c r="E8" s="3"/>
      <c r="F8" s="3"/>
      <c r="G8" s="3"/>
      <c r="H8" s="3"/>
      <c r="I8" s="3"/>
      <c r="J8" s="3"/>
      <c r="K8" s="4"/>
      <c r="L8" s="3"/>
      <c r="M8" s="4"/>
      <c r="N8" s="5"/>
      <c r="O8" s="3"/>
      <c r="P8" s="3"/>
    </row>
    <row r="9" spans="1:16">
      <c r="A9" s="3"/>
      <c r="B9" s="3"/>
      <c r="C9" s="3"/>
      <c r="D9" s="3"/>
      <c r="E9" s="3"/>
      <c r="F9" s="3"/>
      <c r="G9" s="3"/>
      <c r="H9" s="3"/>
      <c r="I9" s="3"/>
      <c r="J9" s="3"/>
      <c r="K9" s="4"/>
      <c r="L9" s="3"/>
      <c r="M9" s="4"/>
      <c r="N9" s="5"/>
      <c r="O9" s="3"/>
      <c r="P9" s="3"/>
    </row>
    <row r="10" spans="1:16">
      <c r="A10" s="3"/>
      <c r="B10" s="3"/>
      <c r="C10" s="3"/>
      <c r="D10" s="3"/>
      <c r="E10" s="3"/>
      <c r="F10" s="3"/>
      <c r="G10" s="3"/>
      <c r="H10" s="3"/>
      <c r="I10" s="3"/>
      <c r="J10" s="3"/>
      <c r="K10" s="4"/>
      <c r="L10" s="3"/>
      <c r="M10" s="4"/>
      <c r="N10" s="5"/>
      <c r="O10" s="3"/>
      <c r="P10" s="3"/>
    </row>
    <row r="11" spans="1:16">
      <c r="A11" s="3"/>
      <c r="B11" s="3"/>
      <c r="C11" s="3"/>
      <c r="D11" s="3"/>
      <c r="E11" s="3"/>
      <c r="F11" s="3"/>
      <c r="G11" s="3"/>
      <c r="H11" s="3"/>
      <c r="I11" s="3"/>
      <c r="J11" s="3"/>
      <c r="K11" s="4"/>
      <c r="L11" s="3"/>
      <c r="M11" s="4"/>
      <c r="N11" s="5"/>
      <c r="O11" s="3"/>
      <c r="P11" s="3"/>
    </row>
    <row r="12" spans="1:16" ht="15">
      <c r="A12" s="44" t="s">
        <v>38</v>
      </c>
      <c r="B12" s="40"/>
      <c r="C12" s="40"/>
      <c r="D12" s="40"/>
      <c r="E12" s="40"/>
      <c r="F12" s="40"/>
      <c r="G12" s="40"/>
      <c r="H12" s="40"/>
    </row>
    <row r="13" spans="1:16">
      <c r="A13" s="42" t="s">
        <v>39</v>
      </c>
      <c r="B13" s="42"/>
      <c r="C13" s="42"/>
      <c r="D13" s="42"/>
      <c r="E13" s="42"/>
      <c r="F13" s="42"/>
      <c r="G13" s="42"/>
      <c r="H13" s="42"/>
    </row>
    <row r="14" spans="1:16">
      <c r="A14" s="42" t="s">
        <v>40</v>
      </c>
      <c r="B14" s="42"/>
      <c r="C14" s="42"/>
      <c r="D14" s="42"/>
      <c r="E14" s="42"/>
      <c r="F14" s="42"/>
      <c r="G14" s="42"/>
      <c r="H14" s="42"/>
    </row>
    <row r="15" spans="1:16">
      <c r="A15" s="42" t="s">
        <v>41</v>
      </c>
      <c r="B15" s="42"/>
      <c r="C15" s="42"/>
      <c r="D15" s="42"/>
      <c r="E15" s="42"/>
      <c r="F15" s="42"/>
      <c r="G15" s="42"/>
      <c r="H15" s="42"/>
    </row>
    <row r="16" spans="1:16">
      <c r="A16" s="42" t="s">
        <v>42</v>
      </c>
      <c r="B16" s="42"/>
      <c r="C16" s="42"/>
      <c r="D16" s="42"/>
      <c r="E16" s="42"/>
      <c r="F16" s="42"/>
      <c r="G16" s="42"/>
      <c r="H16" s="42"/>
    </row>
    <row r="17" spans="1:8">
      <c r="A17" s="42" t="s">
        <v>43</v>
      </c>
      <c r="B17" s="42"/>
      <c r="C17" s="42"/>
      <c r="D17" s="42"/>
      <c r="E17" s="42"/>
      <c r="F17" s="42"/>
      <c r="G17" s="42"/>
      <c r="H17" s="42"/>
    </row>
  </sheetData>
  <mergeCells count="7">
    <mergeCell ref="A15:H15"/>
    <mergeCell ref="A16:H16"/>
    <mergeCell ref="A17:H17"/>
    <mergeCell ref="A1:P1"/>
    <mergeCell ref="A12:H12"/>
    <mergeCell ref="A13:H13"/>
    <mergeCell ref="A14:H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workbookViewId="0">
      <selection activeCell="A7" sqref="A7"/>
    </sheetView>
  </sheetViews>
  <sheetFormatPr baseColWidth="10" defaultColWidth="8.75" defaultRowHeight="14.25"/>
  <cols>
    <col min="1" max="1" width="34" customWidth="1"/>
    <col min="2" max="2" width="18" customWidth="1"/>
    <col min="3" max="3" width="50" customWidth="1"/>
    <col min="4" max="4" width="18" customWidth="1"/>
    <col min="5" max="5" width="45" customWidth="1"/>
  </cols>
  <sheetData>
    <row r="1" spans="1:8" ht="15">
      <c r="A1" s="1" t="s">
        <v>25</v>
      </c>
      <c r="B1" s="1" t="s">
        <v>26</v>
      </c>
      <c r="C1" s="1" t="s">
        <v>27</v>
      </c>
      <c r="D1" s="1" t="s">
        <v>13</v>
      </c>
      <c r="E1" s="1" t="s">
        <v>28</v>
      </c>
    </row>
    <row r="2" spans="1:8" ht="18" customHeight="1">
      <c r="A2" s="3" t="s">
        <v>1244</v>
      </c>
      <c r="B2" s="3" t="s">
        <v>29</v>
      </c>
      <c r="C2" s="3" t="s">
        <v>30</v>
      </c>
      <c r="D2" s="3">
        <v>1</v>
      </c>
      <c r="E2" s="3" t="s">
        <v>31</v>
      </c>
    </row>
    <row r="3" spans="1:8">
      <c r="A3" s="3" t="s">
        <v>1245</v>
      </c>
      <c r="B3" s="3" t="s">
        <v>32</v>
      </c>
      <c r="C3" s="3" t="s">
        <v>33</v>
      </c>
      <c r="D3" s="3">
        <v>2</v>
      </c>
      <c r="E3" s="3"/>
      <c r="H3" s="22"/>
    </row>
    <row r="4" spans="1:8">
      <c r="A4" s="3" t="s">
        <v>466</v>
      </c>
      <c r="B4" s="3" t="s">
        <v>34</v>
      </c>
      <c r="C4" s="3" t="s">
        <v>35</v>
      </c>
      <c r="D4" s="3">
        <v>3</v>
      </c>
      <c r="E4" s="3"/>
      <c r="H4" s="22"/>
    </row>
    <row r="5" spans="1:8">
      <c r="A5" s="3" t="s">
        <v>1246</v>
      </c>
      <c r="B5" s="3" t="s">
        <v>24</v>
      </c>
      <c r="C5" s="3" t="s">
        <v>36</v>
      </c>
      <c r="D5" s="3"/>
      <c r="E5" s="3"/>
      <c r="H5" s="22"/>
    </row>
    <row r="6" spans="1:8">
      <c r="A6" s="3" t="s">
        <v>487</v>
      </c>
      <c r="B6" s="3"/>
      <c r="C6" s="3" t="s">
        <v>37</v>
      </c>
      <c r="D6" s="3"/>
      <c r="E6" s="3"/>
      <c r="H6" s="22"/>
    </row>
    <row r="7" spans="1:8">
      <c r="A7" s="3" t="s">
        <v>1247</v>
      </c>
      <c r="B7" s="3"/>
      <c r="C7" s="3"/>
      <c r="D7" s="3"/>
      <c r="E7" s="3"/>
      <c r="H7" s="22"/>
    </row>
    <row r="8" spans="1:8">
      <c r="A8" s="3" t="s">
        <v>613</v>
      </c>
      <c r="B8" s="3"/>
      <c r="C8" s="3"/>
      <c r="D8" s="3"/>
      <c r="E8" s="3"/>
      <c r="H8" s="22"/>
    </row>
    <row r="9" spans="1:8">
      <c r="A9" s="3" t="s">
        <v>1248</v>
      </c>
      <c r="B9" s="3"/>
      <c r="C9" s="3"/>
      <c r="D9" s="3"/>
      <c r="E9" s="3"/>
      <c r="H9" s="22"/>
    </row>
    <row r="10" spans="1:8">
      <c r="A10" s="3" t="s">
        <v>508</v>
      </c>
      <c r="B10" s="3"/>
      <c r="C10" s="3"/>
      <c r="D10" s="3"/>
      <c r="E10" s="3"/>
      <c r="H10" s="22"/>
    </row>
    <row r="11" spans="1:8">
      <c r="A11" s="3" t="s">
        <v>1249</v>
      </c>
      <c r="B11" s="3"/>
      <c r="C11" s="3"/>
      <c r="D11" s="3"/>
      <c r="E11" s="3"/>
      <c r="H11" s="22"/>
    </row>
    <row r="12" spans="1:8">
      <c r="A12" s="3" t="s">
        <v>1250</v>
      </c>
      <c r="B12" s="3"/>
      <c r="C12" s="3"/>
      <c r="D12" s="3"/>
      <c r="E12" s="3"/>
      <c r="H12" s="22"/>
    </row>
    <row r="13" spans="1:8">
      <c r="A13" t="s">
        <v>1251</v>
      </c>
      <c r="H13" s="22"/>
    </row>
    <row r="14" spans="1:8">
      <c r="A14" t="s">
        <v>1251</v>
      </c>
      <c r="H14" s="22"/>
    </row>
    <row r="15" spans="1:8">
      <c r="A15" t="s">
        <v>1251</v>
      </c>
      <c r="H15" s="22"/>
    </row>
    <row r="16" spans="1:8">
      <c r="A16" t="s">
        <v>1251</v>
      </c>
      <c r="H16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BD_CONVENIOS</vt:lpstr>
      <vt:lpstr>BUSCADOR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pc15</cp:lastModifiedBy>
  <dcterms:created xsi:type="dcterms:W3CDTF">2026-07-15T20:31:36Z</dcterms:created>
  <dcterms:modified xsi:type="dcterms:W3CDTF">2026-07-16T22:42:38Z</dcterms:modified>
</cp:coreProperties>
</file>